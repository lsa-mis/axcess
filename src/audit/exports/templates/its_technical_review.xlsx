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sheet" sheetId="1" r:id="rId5"/>
    <sheet state="visible" name="Test Plan" sheetId="2" r:id="rId6"/>
    <sheet state="visible" name="Summary" sheetId="3" r:id="rId7"/>
    <sheet state="visible" name="Findings Issues" sheetId="4" r:id="rId8"/>
    <sheet state="visible" name="Reference" sheetId="5" r:id="rId9"/>
    <sheet state="visible" name="Reference Impact" sheetId="6" r:id="rId10"/>
  </sheets>
  <definedNames>
    <definedName name="TextAlternatives">Reference!$I$5:$I$11</definedName>
    <definedName name="SectionsFunctions">'Test Plan'!$D$5:$D$100</definedName>
    <definedName name="Language">Reference!$E$5:$E$6</definedName>
    <definedName name="GenericTestList">'Test Plan'!$A$5:$A$138</definedName>
    <definedName name="Navigation">Reference!$G$5:$G$8</definedName>
    <definedName name="GenericTest">'Test Plan'!$A$5:$A$110</definedName>
    <definedName name="SectionsTested">'Test Plan'!$A$5:$A$138</definedName>
    <definedName name="UserControls">Reference!$J$5:$J$8</definedName>
    <definedName name="Severity">Reference!$A$19:$A$23</definedName>
    <definedName name="Contrast">Reference!$B$5:$B$6</definedName>
    <definedName name="KeyboardInput">Reference!$D$5:$D$13</definedName>
    <definedName name="MediaControl">Reference!$F$5:$F$7</definedName>
    <definedName name="Instructions">Reference!$C$5:$C$9</definedName>
    <definedName name="Semantics">Reference!$H$5:$H$15</definedName>
    <definedName name="Adaptability">Reference!$K$5:$K$7</definedName>
  </definedNames>
  <calcPr/>
</workbook>
</file>

<file path=xl/sharedStrings.xml><?xml version="1.0" encoding="utf-8"?>
<sst xmlns="http://schemas.openxmlformats.org/spreadsheetml/2006/main" count="371" uniqueCount="211">
  <si>
    <t>Digital Accessibility Evaluation</t>
  </si>
  <si>
    <t>Test Plan</t>
  </si>
  <si>
    <t>Issue #</t>
  </si>
  <si>
    <r>
      <rPr>
        <rFont val="Nunito"/>
        <color theme="1"/>
      </rPr>
      <t xml:space="preserve">A test plan helps you to test efficiently and to cover the most crucial aspects of the Information Technology (IT) you are testing.  Depending on the nature of the IT, you may focus on </t>
    </r>
    <r>
      <rPr>
        <rFont val="Nunito"/>
        <b/>
        <color theme="1"/>
      </rPr>
      <t xml:space="preserve">Sections testing </t>
    </r>
    <r>
      <rPr>
        <rFont val="Nunito"/>
        <color theme="1"/>
      </rPr>
      <t xml:space="preserve">or </t>
    </r>
    <r>
      <rPr>
        <rFont val="Nunito"/>
        <b/>
        <color theme="1"/>
      </rPr>
      <t>Functions testing</t>
    </r>
  </si>
  <si>
    <t>Test</t>
  </si>
  <si>
    <t>U-M ITS Accessibility Team</t>
  </si>
  <si>
    <r>
      <rPr>
        <rFont val="Nunito"/>
        <b/>
        <color theme="1"/>
      </rPr>
      <t xml:space="preserve">Issue notes
</t>
    </r>
    <r>
      <rPr>
        <rFont val="Nunito"/>
        <b val="0"/>
        <color theme="1"/>
      </rPr>
      <t>Only report barriers, not successes
Please add dates to new comments (a11y team, vendor)</t>
    </r>
  </si>
  <si>
    <t>Summary</t>
  </si>
  <si>
    <t>Category</t>
  </si>
  <si>
    <t>Criterion</t>
  </si>
  <si>
    <r>
      <rPr>
        <rFont val="Nunito"/>
        <b/>
      </rPr>
      <t>Sections testing:</t>
    </r>
    <r>
      <rPr>
        <rFont val="Nunito"/>
      </rPr>
      <t xml:space="preserve"> If you are testing informational websites, choose sections of pages that repeat frequently (like banner, footer). You may also need to include whole pages that are unique (like Homepage, or Search Results). </t>
    </r>
    <r>
      <rPr>
        <rFont val="Nunito"/>
        <b/>
        <color rgb="FF1155CC"/>
        <u/>
      </rPr>
      <t>See tutorial on how to choose sections</t>
    </r>
    <r>
      <rPr>
        <rFont val="Nunito"/>
      </rPr>
      <t xml:space="preserve">.
</t>
    </r>
    <r>
      <rPr>
        <rFont val="Nunito"/>
        <b/>
      </rPr>
      <t>Functions testing:</t>
    </r>
    <r>
      <rPr>
        <rFont val="Nunito"/>
      </rPr>
      <t xml:space="preserve"> If you are testing a dynamic website where you get to add, edit, delete information, change settings, etc. like MCommunity, it would make sense to list functions that you are testing. These would be things like "login", "change settings", "create a group" etc.  </t>
    </r>
    <r>
      <rPr>
        <rFont val="Nunito"/>
        <b/>
        <color rgb="FF1155CC"/>
        <u/>
      </rPr>
      <t>See tutorial on how to choose functions</t>
    </r>
    <r>
      <rPr>
        <rFont val="Nunito"/>
      </rPr>
      <t xml:space="preserve">
You can add the two types of tests below in Column A.
Items listed there will automatically become options in the "Sections" column  of the "Findings: Issues" sheet. Currently listed are some placeholders with sections that many websites have, but you are encouraged to edit, add, or delete them to fit the website you are working on. </t>
    </r>
  </si>
  <si>
    <t>Date</t>
  </si>
  <si>
    <t>Info</t>
  </si>
  <si>
    <t>Severity</t>
  </si>
  <si>
    <t>Impact</t>
  </si>
  <si>
    <t>Most affects people who are/have</t>
  </si>
  <si>
    <t>Vendor checks if ready to be retested by a11y team</t>
  </si>
  <si>
    <t>This report has findings from a "baseline" level accessibility evaluation. This is a preliminary review on a limited sample. This is not a full WCAG conformance report.</t>
  </si>
  <si>
    <t>Verified by a11y team</t>
  </si>
  <si>
    <t>Narrative Summary</t>
  </si>
  <si>
    <t>Tester(s)</t>
  </si>
  <si>
    <t>Use @ and type-ahead to add names</t>
  </si>
  <si>
    <t>This is a place for general observations on the IT you have tested.</t>
  </si>
  <si>
    <t>IT provenance</t>
  </si>
  <si>
    <t>Issue Severity</t>
  </si>
  <si>
    <t>Hybrid</t>
  </si>
  <si>
    <t>Total Issues</t>
  </si>
  <si>
    <t>IT type</t>
  </si>
  <si>
    <t>Website</t>
  </si>
  <si>
    <t>IT</t>
  </si>
  <si>
    <t>IT name</t>
  </si>
  <si>
    <t>URL or location</t>
  </si>
  <si>
    <t>Description</t>
  </si>
  <si>
    <t>U-M contact</t>
  </si>
  <si>
    <t>Name, email. Use @ and type-ahead to add names</t>
  </si>
  <si>
    <t>Global header</t>
  </si>
  <si>
    <t xml:space="preserve"> </t>
  </si>
  <si>
    <t>Blocker Issues</t>
  </si>
  <si>
    <t>Vendor contact</t>
  </si>
  <si>
    <t>Name, email</t>
  </si>
  <si>
    <t>All pages</t>
  </si>
  <si>
    <t>Menu and controls at top of all pages</t>
  </si>
  <si>
    <t>Accessibility</t>
  </si>
  <si>
    <t>If purchased, link to VPAT, accessibility statement, previous evaluations</t>
  </si>
  <si>
    <t>Global footer</t>
  </si>
  <si>
    <t>Describe the product in 5-10 words</t>
  </si>
  <si>
    <t>Info at the end of each page</t>
  </si>
  <si>
    <t>Dashboard page</t>
  </si>
  <si>
    <t>Background</t>
  </si>
  <si>
    <t>a url</t>
  </si>
  <si>
    <t>Instructions</t>
  </si>
  <si>
    <t>Unique page we want to take a look at</t>
  </si>
  <si>
    <t>Login</t>
  </si>
  <si>
    <t>NA</t>
  </si>
  <si>
    <t>Function we want to make sure is accessible</t>
  </si>
  <si>
    <t>Change profile info</t>
  </si>
  <si>
    <t>Describe the reason and purpose for this evaluation.</t>
  </si>
  <si>
    <t>1.2.2 – Captions (Pre-recorded)</t>
  </si>
  <si>
    <t>Create an MCommunity group</t>
  </si>
  <si>
    <t>Critical Issues</t>
  </si>
  <si>
    <t>1.2.2 Info</t>
  </si>
  <si>
    <t>Delete an MCommunity group</t>
  </si>
  <si>
    <t xml:space="preserve">Testing </t>
  </si>
  <si>
    <t>Main URL</t>
  </si>
  <si>
    <t>Major Issues</t>
  </si>
  <si>
    <t>Login info</t>
  </si>
  <si>
    <t>Username, password</t>
  </si>
  <si>
    <t>Testing tools</t>
  </si>
  <si>
    <t>5  Blocker</t>
  </si>
  <si>
    <r>
      <rPr>
        <rFont val="Nunito"/>
      </rPr>
      <t xml:space="preserve">Some or all of Windows, macOS, iOS, Chrome, Firefox. NVDA, VoiceOver, ZoomText.
Some or all of </t>
    </r>
    <r>
      <rPr>
        <rFont val="Nunito"/>
        <color rgb="FF1155CC"/>
        <u/>
      </rPr>
      <t>Axe DevTools Pro</t>
    </r>
    <r>
      <rPr>
        <rFont val="Nunito"/>
      </rPr>
      <t xml:space="preserve">, </t>
    </r>
    <r>
      <rPr>
        <rFont val="Nunito"/>
        <color rgb="FF1155CC"/>
        <u/>
      </rPr>
      <t>Stark</t>
    </r>
    <r>
      <rPr>
        <rFont val="Nunito"/>
      </rPr>
      <t xml:space="preserve">, </t>
    </r>
    <r>
      <rPr>
        <rFont val="Nunito"/>
        <color rgb="FF1155CC"/>
        <u/>
      </rPr>
      <t>WAVE</t>
    </r>
  </si>
  <si>
    <t xml:space="preserve">People who have difficulty processing audio information won't have access to information and content in video. </t>
  </si>
  <si>
    <t>Minor Issues</t>
  </si>
  <si>
    <t>Deaf, Hard of hearing, Neurodivergent</t>
  </si>
  <si>
    <t>Not tested by UM A11y team</t>
  </si>
  <si>
    <t>Best Practice</t>
  </si>
  <si>
    <t>Issues by Category</t>
  </si>
  <si>
    <t>Total number of issues with a category selected</t>
  </si>
  <si>
    <t>Contrast</t>
  </si>
  <si>
    <t>Keyboard and other Input</t>
  </si>
  <si>
    <t>Language</t>
  </si>
  <si>
    <t>Reference</t>
  </si>
  <si>
    <t>Media Control</t>
  </si>
  <si>
    <t>Do not edit. Thank you.</t>
  </si>
  <si>
    <t>Navigation and Consistency</t>
  </si>
  <si>
    <t>1.1.1 – Non-text Content</t>
  </si>
  <si>
    <t>Blind, Low vision, Deaf, Hard of hearing, Neurodivergent</t>
  </si>
  <si>
    <t>Semantics and Structure</t>
  </si>
  <si>
    <t>People with difficulty seeing or processing visual information won't have access to this information or content.</t>
  </si>
  <si>
    <t>1.2.1 – Audio-only and Video-only (Pre-recorded)</t>
  </si>
  <si>
    <t>Text Alternatives</t>
  </si>
  <si>
    <t>People who can only access content through visuals or audio, and people who need both together, may not have access to this information or content.</t>
  </si>
  <si>
    <t>User Controls</t>
  </si>
  <si>
    <t>Adaptability</t>
  </si>
  <si>
    <t>1.2.3 – Audio Description or Media Alternative (Pre-recorded)</t>
  </si>
  <si>
    <t>Blind, Low vision, Neurodivergent</t>
  </si>
  <si>
    <t>Common WCAG Criteria</t>
  </si>
  <si>
    <t>People who can't see or understand visual information won't have access to content in this video.</t>
  </si>
  <si>
    <t>1.2.4 – Captions (Live)</t>
  </si>
  <si>
    <t>People who can't hear or process auditory information will not have access to live audio content.</t>
  </si>
  <si>
    <t>1.4.3 – Contrast (Minimum)</t>
  </si>
  <si>
    <t>1.2.5 – Audio Description (Pre-recorded)</t>
  </si>
  <si>
    <t>1.3.1 – Info and Relationships</t>
  </si>
  <si>
    <t>People using any type of assistive technology will have barriers or difficulty navigating or accessing this information.</t>
  </si>
  <si>
    <t>1.3.2 – Meaningful Sequence</t>
  </si>
  <si>
    <t>People using any type of assistive technology will have difficulty navigating or accessing this information.</t>
  </si>
  <si>
    <t>1.3.3 – Sensory Characteristics</t>
  </si>
  <si>
    <t xml:space="preserve">People who cannot see or hear, or who use devices that adjust display, will not understand references to color, position, sound, or other sensory characteristics. </t>
  </si>
  <si>
    <t>1.3.4 – Orientation</t>
  </si>
  <si>
    <t>Mobility disability, Low vision</t>
  </si>
  <si>
    <t>People who depend on specific device orientations due to positioning or zoom may lose important information.</t>
  </si>
  <si>
    <t>1.3.5 – Identify Input Purpose</t>
  </si>
  <si>
    <t>Mobility disability, Neurodivergent</t>
  </si>
  <si>
    <t>People who have difficulty remembering or entering information will have difficulty completing the form.</t>
  </si>
  <si>
    <t>1.4.1 – Use of Colour</t>
  </si>
  <si>
    <t>Blind, Low vision, Color blindness, Neurodivergent</t>
  </si>
  <si>
    <t>People who cannot see or distinguish certain colors, or who use devices that change colors on their display, may be unable to understand content's meaning.</t>
  </si>
  <si>
    <t>1.4.2 – Audio Control</t>
  </si>
  <si>
    <t>People may be distracted by audio or unable to hear their text-to-speech assistive technology.</t>
  </si>
  <si>
    <t>3.3.1 – Error Identification</t>
  </si>
  <si>
    <t>Low vision, Color blindness</t>
  </si>
  <si>
    <t>People with any visual impairment may not be able to access information or content.</t>
  </si>
  <si>
    <t>1.4.4 – Resize Text</t>
  </si>
  <si>
    <t>Low vision, Neurodivergent</t>
  </si>
  <si>
    <t>People who magnify text to see or read may not be able to access all text.</t>
  </si>
  <si>
    <t>1.4.5 – Images of Text</t>
  </si>
  <si>
    <t>People who use text-to-speech, or adjust font styles, to read may not be able to access text.</t>
  </si>
  <si>
    <t>1.4.10 – Reflow</t>
  </si>
  <si>
    <t>People who view content zoomed in or on a smaller screen may not have access to key functionality or information.</t>
  </si>
  <si>
    <t>1.4.11 – Non-Text Contrast</t>
  </si>
  <si>
    <t>1.4.12 – Text Spacing</t>
  </si>
  <si>
    <t>People who have difficulty distinguishing the difference between letters and lines that are close together may have difficulty reading text.</t>
  </si>
  <si>
    <t>1.4.13 – Content on Hover or Focus</t>
  </si>
  <si>
    <t>Low vision, Neurodivergent, Mobility disability</t>
  </si>
  <si>
    <t>People who adjust their display, need more time, or have difficulty controlling pointer may not be able to access content.</t>
  </si>
  <si>
    <t>2.1.1 - Keyboard</t>
  </si>
  <si>
    <t>Blind, Low vision, Mobility disability, Neurodivergent</t>
  </si>
  <si>
    <t>People who depend on keyboards or assistive input devices will not be able to fully navigate or access the content.</t>
  </si>
  <si>
    <t>2.1.2 – No Keyboard Trap</t>
  </si>
  <si>
    <t>People who depend on keyboards or assistive input device will not be able to fully use the content.</t>
  </si>
  <si>
    <t>2.1.4 – Character Key Shortcuts</t>
  </si>
  <si>
    <t>Blind, Low vision, Mobility disability</t>
  </si>
  <si>
    <t>People with mobility disabilities and people who rely on voice commands may accidently trigger commands.</t>
  </si>
  <si>
    <t>2.2.1 – Timing Adjustable</t>
  </si>
  <si>
    <t>Blind, Low vision, Deaf, Hard of hearing, Mobility disability, Neurodivergent</t>
  </si>
  <si>
    <t>People who need more time to complete a task may not be able to fully use the content.</t>
  </si>
  <si>
    <t>2.2.2 – Pause, Stop, Hide</t>
  </si>
  <si>
    <t>Neurodivergent</t>
  </si>
  <si>
    <t>People who have difficulty with concentration may be unable to interact with a page.</t>
  </si>
  <si>
    <t>2.3.1 – Three Flashes or Below</t>
  </si>
  <si>
    <t>People with seizure disorders and other sensitivities may experience seizures or headaches.</t>
  </si>
  <si>
    <t>2.4.1 – Bypass Blocks</t>
  </si>
  <si>
    <t>People who use any assistive technology may be blocked from efficiently navigating the content.</t>
  </si>
  <si>
    <t>2.4.2 – Page Titled</t>
  </si>
  <si>
    <t>People who use screen readers or have difficulty remembering may be prevented from effectively navigating among multiple pages.</t>
  </si>
  <si>
    <t>2.4.3 – Focus Order</t>
  </si>
  <si>
    <t>People who use keyboard or assistive input device may miss content or controls.</t>
  </si>
  <si>
    <t>2.4.4 – Link Purpose (In Context)</t>
  </si>
  <si>
    <t>3.1.1 – Language of Page</t>
  </si>
  <si>
    <t>People who use any assistive technology or have diffictuly with memory or focus may be prevented from navigating content.</t>
  </si>
  <si>
    <t>2.4.5 – Multiple Ways</t>
  </si>
  <si>
    <t>People who prefer, or rely on, specific ways of navigating websites may not be able to access every page</t>
  </si>
  <si>
    <t>2.4.6 – Headings and Labels</t>
  </si>
  <si>
    <t xml:space="preserve">People who use any assistive technology or are neurodivergent may be prevented from interacting with content. </t>
  </si>
  <si>
    <t>2.4.7 – Focus Visible</t>
  </si>
  <si>
    <t>Low vision, Mobility disability, Neurodivergent</t>
  </si>
  <si>
    <t>People who use keyboard or assistive input device may be prevented from navigating content.</t>
  </si>
  <si>
    <t>2.5.1 – Pointer Gestures</t>
  </si>
  <si>
    <t>People who are unable to operate a mouse or touch screen may not be able to perform necessary gestures.</t>
  </si>
  <si>
    <t>2.5.2 – Pointer Cancellation</t>
  </si>
  <si>
    <t>People with visual, cognitive, or motor disabilities may be unable to navigate the page.</t>
  </si>
  <si>
    <t>2.5.3 – Label in Name</t>
  </si>
  <si>
    <t>Low vision, Mobility disability</t>
  </si>
  <si>
    <t>People who use voice commands may have difficulty accessing content or controls.</t>
  </si>
  <si>
    <t>2.5.4 – Motion Actuation</t>
  </si>
  <si>
    <t>Mobility disability</t>
  </si>
  <si>
    <t>People who are unable to move their devices may not be able to perform necessary gestures.</t>
  </si>
  <si>
    <t>People who use text-to-speech tools or captions may not have access to this content.</t>
  </si>
  <si>
    <t>3.1.2 – Language of Parts</t>
  </si>
  <si>
    <t>3.2.1 – On Focus</t>
  </si>
  <si>
    <t>All people may trigger an action by accident and some will have difficulty using this content.</t>
  </si>
  <si>
    <t>3.2.2 – On Input</t>
  </si>
  <si>
    <t>3.2.3 – Consistent Navigation</t>
  </si>
  <si>
    <t>People who have trouble with memory or use assistive technology may have difficulty navigating.</t>
  </si>
  <si>
    <t>3.2.4 – Consistent Identification</t>
  </si>
  <si>
    <t>People who rely on assistive technology or have trouble with memory may have difficulty navigating or using this content.</t>
  </si>
  <si>
    <t>People with any disability and people in general may not be able to identify and fix the error.</t>
  </si>
  <si>
    <t>3.3.2 – Labels or Instructions</t>
  </si>
  <si>
    <t>People with any disability and people in general may not be able to input correct information.</t>
  </si>
  <si>
    <t>3.3.3 – Error Suggestion</t>
  </si>
  <si>
    <t>People with any disability and people in general may not be able to fix the error.</t>
  </si>
  <si>
    <t>3.3.4 – Error Prevention (Legal, Financial, Data)</t>
  </si>
  <si>
    <t>Blind, Low vision, Color blindness, Deaf, Hard of hearing, Mobility disability, Neurodivergent</t>
  </si>
  <si>
    <t>People with any disability and people in general may not be able to avoid or fix serious errors.</t>
  </si>
  <si>
    <t>4.1.1 – Parsing</t>
  </si>
  <si>
    <t>Blind, Mobility disability, Neurodivergent</t>
  </si>
  <si>
    <t>People who use assistive technology and all people may not be able to access or interact with content.</t>
  </si>
  <si>
    <t>4.1.2 – Name, Role, Value</t>
  </si>
  <si>
    <t>People who use assistive technology may not be able to use content or controls.</t>
  </si>
  <si>
    <t>4.1.3 – Status Messages</t>
  </si>
  <si>
    <t>Blind, Low vision</t>
  </si>
  <si>
    <t>People who use assistive technology may not be notified of changes or may be unnecessarily distracted by them.</t>
  </si>
  <si>
    <t>Meaning</t>
  </si>
  <si>
    <t>Prevents access to core processes or many secondary processes; causes harm or significant discomfort.</t>
  </si>
  <si>
    <t>4  Critical</t>
  </si>
  <si>
    <t>Prevents access to some secondary processes; makes it difficult to access core processes or many secondary processes.</t>
  </si>
  <si>
    <t>3  Major</t>
  </si>
  <si>
    <t>Makes it inconvenient to access core processes or many secondary processes.</t>
  </si>
  <si>
    <t>2  Minor</t>
  </si>
  <si>
    <t>Makes it inconvenient to access isolated processes.</t>
  </si>
  <si>
    <t>1  Best practice</t>
  </si>
  <si>
    <t>Will provide a superior and equitable experience to all users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</si>
</sst>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4">
    <font>
      <sz val="10.0"/>
      <color rgb="FF000000"/>
      <name val="Arial"/>
      <scheme val="minor"/>
    </font>
    <font>
      <sz val="18.0"/>
      <color theme="1"/>
      <name val="Oswald"/>
    </font>
    <font>
      <b/>
      <sz val="12.0"/>
      <color theme="1"/>
      <name val="Nunito"/>
    </font>
    <font>
      <color theme="1"/>
      <name val="Nunito"/>
    </font>
    <font>
      <b/>
      <color theme="1"/>
      <name val="Nunito"/>
    </font>
    <font>
      <color theme="1"/>
      <name val="Muli"/>
    </font>
    <font>
      <color theme="1"/>
      <name val="Arial"/>
    </font>
    <font/>
    <font>
      <u/>
      <color rgb="FF0000FF"/>
      <name val="Nunito"/>
    </font>
    <font>
      <color theme="1"/>
      <name val="Docs-Nunito"/>
    </font>
    <font>
      <u/>
      <sz val="10.0"/>
      <color rgb="FF1155CC"/>
      <name val="Nunito"/>
    </font>
    <font>
      <sz val="10.0"/>
      <color theme="1"/>
      <name val="Nunito"/>
    </font>
    <font>
      <u/>
      <color rgb="FF0000FF"/>
      <name val="Nunito"/>
    </font>
    <font>
      <sz val="9.0"/>
      <color rgb="FF000000"/>
      <name val="&quot;Google Sans Mono&quot;"/>
    </font>
    <font>
      <color theme="1"/>
      <name val="&quot;Google Sans Mono&quot;"/>
    </font>
    <font>
      <sz val="11.0"/>
      <color rgb="FF212529"/>
      <name val="Nunito"/>
    </font>
    <font>
      <sz val="11.0"/>
      <color theme="1"/>
      <name val="Nunito"/>
    </font>
    <font>
      <b/>
      <color theme="1"/>
      <name val="Arial"/>
    </font>
    <font>
      <u/>
      <color rgb="FF0000FF"/>
      <name val="Nunito"/>
    </font>
    <font>
      <sz val="11.0"/>
      <color rgb="FF1F1F1F"/>
      <name val="&quot;Google Sans&quot;"/>
    </font>
    <font>
      <u/>
      <color rgb="FF0000FF"/>
      <name val="Nunito"/>
    </font>
    <font>
      <u/>
      <color rgb="FF0000FF"/>
      <name val="Nunito"/>
    </font>
    <font>
      <u/>
      <color rgb="FF0000FF"/>
      <name val="Nunito"/>
    </font>
    <font>
      <u/>
      <color rgb="FF0000FF"/>
      <name val="Nunito"/>
    </font>
  </fonts>
  <fills count="8">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s>
  <borders count="28">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left style="medium">
        <color rgb="FF000000"/>
      </left>
      <right style="medium">
        <color rgb="FF000000"/>
      </right>
      <top style="medium">
        <color rgb="FF000000"/>
      </top>
    </border>
    <border>
      <right style="medium">
        <color rgb="FF000000"/>
      </right>
      <top style="medium">
        <color rgb="FF000000"/>
      </top>
      <bottom style="medium">
        <color rgb="FF000000"/>
      </bottom>
    </border>
    <border>
      <top style="medium">
        <color rgb="FF000000"/>
      </top>
      <bottom style="medium">
        <color rgb="FF000000"/>
      </bottom>
    </border>
    <border>
      <left style="thin">
        <color rgb="FF000000"/>
      </left>
      <right style="thin">
        <color rgb="FF000000"/>
      </right>
      <top style="thin">
        <color rgb="FF000000"/>
      </top>
      <bottom style="thin">
        <color rgb="FF000000"/>
      </bottom>
    </border>
    <border>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right style="thin">
        <color rgb="FF000000"/>
      </right>
      <bottom style="thin">
        <color rgb="FF000000"/>
      </bottom>
    </border>
    <border>
      <top style="thin">
        <color rgb="FF000000"/>
      </top>
      <bottom style="thin">
        <color rgb="FF000000"/>
      </bottom>
    </border>
    <border>
      <top style="medium">
        <color rgb="FF000000"/>
      </top>
    </border>
    <border>
      <right style="medium">
        <color rgb="FF000000"/>
      </right>
      <top style="medium">
        <color rgb="FF000000"/>
      </top>
    </border>
    <border>
      <left style="medium">
        <color rgb="FF000000"/>
      </left>
      <right style="medium">
        <color rgb="FF000000"/>
      </right>
    </border>
    <border>
      <right style="medium">
        <color rgb="FF000000"/>
      </right>
    </border>
    <border>
      <left style="thin">
        <color rgb="FF000000"/>
      </left>
      <top style="thin">
        <color rgb="FF000000"/>
      </top>
      <bottom style="thin">
        <color rgb="FF000000"/>
      </bottom>
    </border>
    <border>
      <left style="thin">
        <color rgb="FF000000"/>
      </left>
      <bottom style="thin">
        <color rgb="FF000000"/>
      </bottom>
    </border>
    <border>
      <left style="thin">
        <color rgb="FF000000"/>
      </left>
      <right style="thin">
        <color rgb="FF000000"/>
      </right>
      <bottom style="thin">
        <color rgb="FF000000"/>
      </bottom>
    </border>
    <border>
      <top style="medium">
        <color rgb="FFDEE2E6"/>
      </top>
      <bottom style="thin">
        <color rgb="FFDEE2E6"/>
      </bottom>
    </border>
    <border>
      <top style="thin">
        <color rgb="FFDEE2E6"/>
      </top>
      <bottom style="thin">
        <color rgb="FFDEE2E6"/>
      </bottom>
    </border>
    <border>
      <bottom style="thin">
        <color rgb="FFDEE2E6"/>
      </bottom>
    </border>
    <border>
      <left style="thin">
        <color rgb="FF000000"/>
      </left>
      <right style="thin">
        <color rgb="FF000000"/>
      </right>
    </border>
    <border>
      <top style="thin">
        <color rgb="FF000000"/>
      </top>
      <bottom style="medium">
        <color rgb="FF000000"/>
      </bottom>
    </border>
    <border>
      <top style="thin">
        <color rgb="FF000000"/>
      </top>
    </border>
    <border>
      <bottom style="thin">
        <color rgb="FF000000"/>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vertical="center"/>
    </xf>
    <xf borderId="0" fillId="0" fontId="3" numFmtId="0" xfId="0" applyFont="1"/>
    <xf borderId="1" fillId="2" fontId="4" numFmtId="0" xfId="0" applyAlignment="1" applyBorder="1" applyFill="1" applyFont="1">
      <alignment horizontal="center" readingOrder="0" shrinkToFit="0" vertical="center" wrapText="1"/>
    </xf>
    <xf borderId="0" fillId="0" fontId="3" numFmtId="0" xfId="0" applyAlignment="1" applyFont="1">
      <alignment readingOrder="0" shrinkToFit="0" wrapText="1"/>
    </xf>
    <xf borderId="0" fillId="0" fontId="5" numFmtId="0" xfId="0" applyFont="1"/>
    <xf borderId="1" fillId="2" fontId="4" numFmtId="0" xfId="0" applyAlignment="1" applyBorder="1" applyFill="1" applyFont="1">
      <alignment horizontal="left" readingOrder="0" shrinkToFit="0" vertical="center" wrapText="1"/>
    </xf>
    <xf borderId="0" fillId="0" fontId="3" numFmtId="0" xfId="0" applyAlignment="1" applyFont="1">
      <alignment readingOrder="0" vertical="top"/>
    </xf>
    <xf borderId="0" fillId="0" fontId="3" numFmtId="0" xfId="0" applyAlignment="1" applyFont="1">
      <alignment readingOrder="0" shrinkToFit="0" vertical="top" wrapText="1"/>
    </xf>
    <xf borderId="0" fillId="3" fontId="3" numFmtId="0" xfId="0" applyFill="1" applyFont="1"/>
    <xf borderId="0" fillId="0" fontId="2" numFmtId="0" xfId="0" applyAlignment="1" applyFont="1">
      <alignment vertical="bottom"/>
    </xf>
    <xf borderId="2" fillId="2" fontId="4" numFmtId="0" xfId="0" applyAlignment="1" applyBorder="1" applyFill="1" applyFont="1">
      <alignment horizontal="left" readingOrder="0" shrinkToFit="0" vertical="center" wrapText="1"/>
    </xf>
    <xf borderId="1" fillId="2" fontId="4" numFmtId="0" xfId="0" applyAlignment="1" applyBorder="1" applyFill="1" applyFont="1">
      <alignment horizontal="left" readingOrder="0" shrinkToFit="0" wrapText="1"/>
    </xf>
    <xf borderId="3" fillId="2" fontId="4" numFmtId="0" xfId="0" applyAlignment="1" applyBorder="1" applyFill="1" applyFont="1">
      <alignment horizontal="left" readingOrder="0" shrinkToFit="0" vertical="center" wrapText="1"/>
    </xf>
    <xf borderId="0" fillId="0" fontId="6" numFmtId="0" xfId="0" applyAlignment="1" applyFont="1">
      <alignment vertical="bottom"/>
    </xf>
    <xf borderId="4" fillId="2" fontId="4" numFmtId="0" xfId="0" applyAlignment="1" applyBorder="1" applyFill="1" applyFont="1">
      <alignment horizontal="left" readingOrder="0" shrinkToFit="0" vertical="center" wrapText="1"/>
    </xf>
    <xf borderId="0" fillId="0" fontId="3" numFmtId="0" xfId="0" applyAlignment="1" applyFont="1">
      <alignment shrinkToFit="0" vertical="bottom" wrapText="1"/>
    </xf>
    <xf borderId="0" fillId="2" fontId="4" numFmtId="0" xfId="0" applyAlignment="1" applyFill="1" applyFont="1">
      <alignment horizontal="left" readingOrder="0" shrinkToFit="0" vertical="center" wrapText="1"/>
    </xf>
    <xf borderId="5" fillId="0" fontId="3" numFmtId="164" xfId="0" applyAlignment="1" applyBorder="1" applyFont="1" applyNumberFormat="1">
      <alignment horizontal="left" readingOrder="0"/>
    </xf>
    <xf borderId="6" fillId="0" fontId="3" numFmtId="0" xfId="0" applyAlignment="1" applyBorder="1" applyFont="1">
      <alignment horizontal="center" readingOrder="0" shrinkToFit="0" vertical="center" wrapText="1"/>
    </xf>
    <xf borderId="7" fillId="0" fontId="2" numFmtId="0" xfId="0" applyAlignment="1" applyBorder="1" applyFont="1">
      <alignment vertical="bottom"/>
    </xf>
    <xf borderId="5" fillId="0" fontId="7" numFmtId="0" xfId="0" applyBorder="1" applyFont="1"/>
    <xf borderId="7" fillId="0" fontId="6" numFmtId="0" xfId="0" applyAlignment="1" applyBorder="1" applyFont="1">
      <alignment vertical="bottom"/>
    </xf>
    <xf borderId="4" fillId="0" fontId="7" numFmtId="0" xfId="0" applyBorder="1" applyFont="1"/>
    <xf borderId="5" fillId="0" fontId="3" numFmtId="0" xfId="0" applyAlignment="1" applyBorder="1" applyFont="1">
      <alignment horizontal="left" readingOrder="0"/>
    </xf>
    <xf borderId="2" fillId="0" fontId="3" numFmtId="0" xfId="0" applyAlignment="1" applyBorder="1" applyFont="1">
      <alignment horizontal="left" readingOrder="0" shrinkToFit="0" vertical="top" wrapText="1"/>
    </xf>
    <xf borderId="0" fillId="0" fontId="6" numFmtId="0" xfId="0" applyAlignment="1" applyFont="1">
      <alignment shrinkToFit="0" vertical="bottom" wrapText="1"/>
    </xf>
    <xf borderId="7" fillId="0" fontId="6" numFmtId="0" xfId="0" applyAlignment="1" applyBorder="1" applyFont="1">
      <alignment vertical="bottom"/>
    </xf>
    <xf borderId="7" fillId="0" fontId="6" numFmtId="9" xfId="0" applyAlignment="1" applyBorder="1" applyFont="1" applyNumberFormat="1">
      <alignment vertical="bottom"/>
    </xf>
    <xf borderId="8" fillId="2" fontId="4" numFmtId="0" xfId="0" applyAlignment="1" applyBorder="1" applyFill="1" applyFont="1">
      <alignment readingOrder="0" shrinkToFit="0" vertical="top" wrapText="1"/>
    </xf>
    <xf borderId="1" fillId="2" fontId="4" numFmtId="0" xfId="0" applyAlignment="1" applyBorder="1" applyFill="1" applyFont="1">
      <alignment readingOrder="0" shrinkToFit="0" vertical="bottom" wrapText="1"/>
    </xf>
    <xf borderId="0" fillId="0" fontId="8" numFmtId="0" xfId="0" applyAlignment="1" applyFont="1">
      <alignment readingOrder="0" shrinkToFit="0" vertical="top" wrapText="1"/>
    </xf>
    <xf borderId="0" fillId="0" fontId="3" numFmtId="0" xfId="0" applyAlignment="1" applyFont="1">
      <alignment readingOrder="0" shrinkToFit="0" vertical="top" wrapText="1"/>
    </xf>
    <xf borderId="5" fillId="0" fontId="3" numFmtId="0" xfId="0" applyAlignment="1" applyBorder="1" applyFont="1">
      <alignment readingOrder="0" vertical="bottom"/>
    </xf>
    <xf borderId="0" fillId="0" fontId="2" numFmtId="0" xfId="0" applyAlignment="1" applyFont="1">
      <alignment readingOrder="0"/>
    </xf>
    <xf borderId="1" fillId="2" fontId="4" numFmtId="0" xfId="0" applyAlignment="1" applyBorder="1" applyFill="1" applyFont="1">
      <alignment horizontal="left" readingOrder="0" shrinkToFit="0" vertical="top" wrapText="1"/>
    </xf>
    <xf borderId="1" fillId="4" fontId="4" numFmtId="0" xfId="0" applyAlignment="1" applyBorder="1" applyFill="1" applyFont="1">
      <alignment horizontal="left" readingOrder="0" shrinkToFit="0" vertical="top" wrapText="1"/>
    </xf>
    <xf borderId="0" fillId="0" fontId="4" numFmtId="0" xfId="0" applyAlignment="1" applyFont="1">
      <alignment horizontal="left" readingOrder="0" shrinkToFit="0" vertical="top" wrapText="1"/>
    </xf>
    <xf borderId="5" fillId="0" fontId="4" numFmtId="0" xfId="0" applyAlignment="1" applyBorder="1" applyFont="1">
      <alignment horizontal="left" readingOrder="0" shrinkToFit="0" vertical="top" wrapText="1"/>
    </xf>
    <xf borderId="9" fillId="0" fontId="3" numFmtId="0" xfId="0" applyAlignment="1" applyBorder="1" applyFont="1">
      <alignment horizontal="right" shrinkToFit="0" vertical="top" wrapText="1"/>
    </xf>
    <xf borderId="5" fillId="0" fontId="3" numFmtId="0" xfId="0" applyAlignment="1" applyBorder="1" applyFont="1">
      <alignment horizontal="left" readingOrder="0" shrinkToFit="0" vertical="top" wrapText="1"/>
    </xf>
    <xf borderId="9" fillId="0" fontId="3" numFmtId="0" xfId="0" applyAlignment="1" applyBorder="1" applyFont="1">
      <alignment horizontal="right" readingOrder="0" shrinkToFit="0" vertical="top" wrapText="1"/>
    </xf>
    <xf borderId="8" fillId="2" fontId="4" numFmtId="0" xfId="0" applyAlignment="1" applyBorder="1" applyFill="1" applyFont="1">
      <alignment shrinkToFit="0" vertical="top" wrapText="1"/>
    </xf>
    <xf borderId="10" fillId="0" fontId="3" numFmtId="0" xfId="0" applyAlignment="1" applyBorder="1" applyFont="1">
      <alignment shrinkToFit="0" vertical="top" wrapText="1"/>
    </xf>
    <xf borderId="11" fillId="0" fontId="3" numFmtId="0" xfId="0" applyAlignment="1" applyBorder="1" applyFont="1">
      <alignment shrinkToFit="0" vertical="top" wrapText="1"/>
    </xf>
    <xf borderId="0" fillId="0" fontId="3" numFmtId="0" xfId="0" applyAlignment="1" applyFont="1">
      <alignment shrinkToFit="0" vertical="top" wrapText="1"/>
    </xf>
    <xf borderId="6" fillId="0" fontId="3" numFmtId="0" xfId="0" applyAlignment="1" applyBorder="1" applyFont="1">
      <alignment horizontal="left" readingOrder="0" shrinkToFit="0" vertical="center" wrapText="1"/>
    </xf>
    <xf borderId="12" fillId="3" fontId="9" numFmtId="0" xfId="0" applyAlignment="1" applyBorder="1" applyFill="1" applyFont="1">
      <alignment vertical="top"/>
    </xf>
    <xf borderId="1" fillId="2" fontId="4" numFmtId="0" xfId="0" applyAlignment="1" applyBorder="1" applyFill="1" applyFont="1">
      <alignment shrinkToFit="0" vertical="top" wrapText="1"/>
    </xf>
    <xf borderId="12" fillId="0" fontId="3" numFmtId="0" xfId="0" applyAlignment="1" applyBorder="1" applyFont="1">
      <alignment shrinkToFit="0" vertical="top" wrapText="1"/>
    </xf>
    <xf borderId="5" fillId="0" fontId="3" numFmtId="0" xfId="0" applyAlignment="1" applyBorder="1" applyFont="1">
      <alignment shrinkToFit="0" vertical="top" wrapText="1"/>
    </xf>
    <xf borderId="6" fillId="0" fontId="3" numFmtId="0" xfId="0" applyAlignment="1" applyBorder="1" applyFont="1">
      <alignment horizontal="left" readingOrder="0" shrinkToFit="0" vertical="top" wrapText="1"/>
    </xf>
    <xf borderId="3" fillId="2" fontId="4" numFmtId="0" xfId="0" applyAlignment="1" applyBorder="1" applyFill="1" applyFont="1">
      <alignment horizontal="left" readingOrder="0" shrinkToFit="0" vertical="top" wrapText="1"/>
    </xf>
    <xf borderId="9" fillId="5" fontId="3" numFmtId="9" xfId="0" applyAlignment="1" applyBorder="1" applyFill="1" applyFont="1" applyNumberFormat="1">
      <alignment horizontal="right" shrinkToFit="0" vertical="top" wrapText="1"/>
    </xf>
    <xf borderId="13" fillId="0" fontId="3" numFmtId="0" xfId="0" applyAlignment="1" applyBorder="1" applyFont="1">
      <alignment horizontal="left" readingOrder="0" shrinkToFit="0" vertical="center" wrapText="1"/>
    </xf>
    <xf borderId="14" fillId="0" fontId="3" numFmtId="0" xfId="0" applyAlignment="1" applyBorder="1" applyFont="1">
      <alignment horizontal="left" readingOrder="0" shrinkToFit="0" vertical="top" wrapText="1"/>
    </xf>
    <xf borderId="14" fillId="0" fontId="7" numFmtId="0" xfId="0" applyBorder="1" applyFont="1"/>
    <xf borderId="15" fillId="0" fontId="7" numFmtId="0" xfId="0" applyBorder="1" applyFont="1"/>
    <xf borderId="16" fillId="0" fontId="7" numFmtId="0" xfId="0" applyBorder="1" applyFont="1"/>
    <xf borderId="17" fillId="0" fontId="7" numFmtId="0" xfId="0" applyBorder="1" applyFont="1"/>
    <xf borderId="8" fillId="0" fontId="7" numFmtId="0" xfId="0" applyBorder="1" applyFont="1"/>
    <xf borderId="7" fillId="0" fontId="7" numFmtId="0" xfId="0" applyBorder="1" applyFont="1"/>
    <xf borderId="9" fillId="0" fontId="7" numFmtId="0" xfId="0" applyBorder="1" applyFont="1"/>
    <xf borderId="5" fillId="0" fontId="4" numFmtId="0" xfId="0" applyAlignment="1" applyBorder="1" applyFont="1">
      <alignment horizontal="left" readingOrder="0" vertical="top"/>
    </xf>
    <xf borderId="13" fillId="3" fontId="10" numFmtId="0" xfId="0" applyAlignment="1" applyBorder="1" applyFill="1" applyFont="1">
      <alignment readingOrder="0" vertical="center"/>
    </xf>
    <xf borderId="5" fillId="0" fontId="3" numFmtId="0" xfId="0" applyAlignment="1" applyBorder="1" applyFont="1">
      <alignment horizontal="left" readingOrder="0" vertical="top"/>
    </xf>
    <xf borderId="18" fillId="0" fontId="3" numFmtId="0" xfId="0" applyAlignment="1" applyBorder="1" applyFont="1">
      <alignment horizontal="left" readingOrder="0" shrinkToFit="0" vertical="center" wrapText="1"/>
    </xf>
    <xf borderId="9" fillId="6" fontId="3" numFmtId="9" xfId="0" applyAlignment="1" applyBorder="1" applyFill="1" applyFont="1" applyNumberFormat="1">
      <alignment horizontal="right" shrinkToFit="0" vertical="top" wrapText="1"/>
    </xf>
    <xf borderId="19" fillId="0" fontId="3" numFmtId="0" xfId="0" applyAlignment="1" applyBorder="1" applyFont="1">
      <alignment horizontal="left" readingOrder="0" shrinkToFit="0" vertical="center" wrapText="1"/>
    </xf>
    <xf borderId="20" fillId="0" fontId="3" numFmtId="0" xfId="0" applyAlignment="1" applyBorder="1" applyFont="1">
      <alignment horizontal="left" readingOrder="0" shrinkToFit="0" vertical="top" wrapText="1"/>
    </xf>
    <xf borderId="20" fillId="0" fontId="3" numFmtId="0" xfId="0" applyAlignment="1" applyBorder="1" applyFont="1">
      <alignment horizontal="center" readingOrder="0" shrinkToFit="0" vertical="center" wrapText="1"/>
    </xf>
    <xf borderId="9" fillId="0" fontId="3" numFmtId="0" xfId="0" applyAlignment="1" applyBorder="1" applyFont="1">
      <alignment horizontal="right" shrinkToFit="0" vertical="top" wrapText="1"/>
    </xf>
    <xf borderId="0" fillId="0" fontId="3" numFmtId="0" xfId="0" applyAlignment="1" applyFont="1">
      <alignment horizontal="center" readingOrder="0" shrinkToFit="0" vertical="center" wrapText="1"/>
    </xf>
    <xf borderId="13" fillId="3" fontId="11" numFmtId="0" xfId="0" applyBorder="1" applyFill="1" applyFont="1"/>
    <xf borderId="14" fillId="0" fontId="12" numFmtId="0" xfId="0" applyAlignment="1" applyBorder="1" applyFont="1">
      <alignment horizontal="left" readingOrder="0" vertical="top"/>
    </xf>
    <xf borderId="6" fillId="3" fontId="11" numFmtId="0" xfId="0" applyAlignment="1" applyBorder="1" applyFill="1" applyFont="1">
      <alignment readingOrder="0" shrinkToFit="0" vertical="center" wrapText="1"/>
    </xf>
    <xf borderId="9" fillId="7" fontId="3" numFmtId="9" xfId="0" applyAlignment="1" applyBorder="1" applyFill="1" applyFont="1" applyNumberFormat="1">
      <alignment horizontal="right" shrinkToFit="0" vertical="top" wrapText="1"/>
    </xf>
    <xf borderId="7" fillId="0" fontId="2" numFmtId="0" xfId="0" applyAlignment="1" applyBorder="1" applyFont="1">
      <alignment readingOrder="0" shrinkToFit="0" vertical="bottom" wrapText="0"/>
    </xf>
    <xf borderId="1" fillId="2" fontId="4" numFmtId="0" xfId="0" applyAlignment="1" applyBorder="1" applyFill="1" applyFont="1">
      <alignment readingOrder="0" shrinkToFit="0" vertical="top" wrapText="1"/>
    </xf>
    <xf borderId="1" fillId="0" fontId="3" numFmtId="0" xfId="0" applyAlignment="1" applyBorder="1" applyFont="1">
      <alignment horizontal="right" shrinkToFit="0" vertical="top" wrapText="1"/>
    </xf>
    <xf borderId="1" fillId="0" fontId="3" numFmtId="9" xfId="0" applyAlignment="1" applyBorder="1" applyFont="1" applyNumberFormat="1">
      <alignment horizontal="right" shrinkToFit="0" vertical="top" wrapText="1"/>
    </xf>
    <xf borderId="0" fillId="0" fontId="3" numFmtId="0" xfId="0" applyAlignment="1" applyFont="1">
      <alignment horizontal="left" readingOrder="0" shrinkToFit="0" vertical="top" wrapText="1"/>
    </xf>
    <xf borderId="1" fillId="3" fontId="13" numFmtId="0" xfId="0" applyAlignment="1" applyBorder="1" applyFill="1" applyFont="1">
      <alignment horizontal="right"/>
    </xf>
    <xf borderId="1" fillId="7" fontId="3" numFmtId="9" xfId="0" applyAlignment="1" applyBorder="1" applyFill="1" applyFont="1" applyNumberFormat="1">
      <alignment horizontal="right" shrinkToFit="0" vertical="top" wrapText="1"/>
    </xf>
    <xf borderId="1" fillId="0" fontId="14" numFmtId="0" xfId="0" applyAlignment="1" applyBorder="1" applyFont="1">
      <alignment horizontal="right" readingOrder="0" vertical="bottom"/>
    </xf>
    <xf borderId="0" fillId="0" fontId="3" numFmtId="0" xfId="0" applyAlignment="1" applyFont="1">
      <alignment readingOrder="0"/>
    </xf>
    <xf borderId="21" fillId="0" fontId="15" numFmtId="0" xfId="0" applyAlignment="1" applyBorder="1" applyFont="1">
      <alignment shrinkToFit="0" vertical="top" wrapText="1"/>
    </xf>
    <xf borderId="22" fillId="0" fontId="15" numFmtId="0" xfId="0" applyAlignment="1" applyBorder="1" applyFont="1">
      <alignment shrinkToFit="0" vertical="top" wrapText="1"/>
    </xf>
    <xf borderId="0" fillId="0" fontId="16" numFmtId="0" xfId="0" applyAlignment="1" applyFont="1">
      <alignment shrinkToFit="0" vertical="top" wrapText="1"/>
    </xf>
    <xf borderId="0" fillId="0" fontId="16" numFmtId="0" xfId="0" applyFont="1"/>
    <xf borderId="23" fillId="0" fontId="15" numFmtId="0" xfId="0" applyAlignment="1" applyBorder="1" applyFont="1">
      <alignment shrinkToFit="0" vertical="top" wrapText="1"/>
    </xf>
    <xf borderId="3" fillId="2" fontId="4" numFmtId="0" xfId="0" applyAlignment="1" applyBorder="1" applyFill="1" applyFont="1">
      <alignment readingOrder="0"/>
    </xf>
    <xf borderId="24" fillId="2" fontId="4" numFmtId="0" xfId="0" applyAlignment="1" applyBorder="1" applyFill="1" applyFont="1">
      <alignment horizontal="left" readingOrder="0" shrinkToFit="0" vertical="top" wrapText="1"/>
    </xf>
    <xf borderId="1" fillId="2" fontId="17" numFmtId="0" xfId="0" applyAlignment="1" applyBorder="1" applyFill="1" applyFont="1">
      <alignment readingOrder="0" vertical="bottom"/>
    </xf>
    <xf borderId="0" fillId="0" fontId="16" numFmtId="0" xfId="0" applyAlignment="1" applyFont="1">
      <alignment shrinkToFit="0" vertical="bottom" wrapText="1"/>
    </xf>
    <xf borderId="20" fillId="0" fontId="18" numFmtId="0" xfId="0" applyAlignment="1" applyBorder="1" applyFont="1">
      <alignment horizontal="left" readingOrder="0" shrinkToFit="0" vertical="top" wrapText="1"/>
    </xf>
    <xf borderId="0" fillId="0" fontId="19" numFmtId="0" xfId="0" applyAlignment="1" applyFont="1">
      <alignment shrinkToFit="0" vertical="bottom" wrapText="1"/>
    </xf>
    <xf borderId="19" fillId="0" fontId="20" numFmtId="0" xfId="0" applyAlignment="1" applyBorder="1" applyFont="1">
      <alignment horizontal="left" readingOrder="0" shrinkToFit="0" vertical="top" wrapText="1"/>
    </xf>
    <xf borderId="0" fillId="0" fontId="15" numFmtId="0" xfId="0" applyAlignment="1" applyFont="1">
      <alignment shrinkToFit="0" vertical="top" wrapText="1"/>
    </xf>
    <xf borderId="0" fillId="0" fontId="16" numFmtId="0" xfId="0" applyAlignment="1" applyFont="1">
      <alignment shrinkToFit="0" vertical="top" wrapText="1"/>
    </xf>
    <xf borderId="6" fillId="0" fontId="21" numFmtId="0" xfId="0" applyAlignment="1" applyBorder="1" applyFont="1">
      <alignment readingOrder="0"/>
    </xf>
    <xf borderId="24" fillId="0" fontId="7" numFmtId="0" xfId="0" applyBorder="1" applyFont="1"/>
    <xf borderId="6" fillId="0" fontId="22" numFmtId="0" xfId="0" applyAlignment="1" applyBorder="1" applyFont="1">
      <alignment horizontal="left" readingOrder="0" shrinkToFit="0" vertical="top" wrapText="1"/>
    </xf>
    <xf borderId="18" fillId="0" fontId="23" numFmtId="0" xfId="0" applyAlignment="1" applyBorder="1" applyFont="1">
      <alignment horizontal="left" readingOrder="0" shrinkToFit="0" vertical="top" wrapText="1"/>
    </xf>
    <xf borderId="6" fillId="0" fontId="3" numFmtId="0" xfId="0" applyAlignment="1" applyBorder="1" applyFont="1">
      <alignment horizontal="left" readingOrder="0" shrinkToFit="0" vertical="top" wrapText="1"/>
    </xf>
    <xf borderId="6" fillId="0" fontId="3" numFmtId="0" xfId="0" applyBorder="1" applyFont="1"/>
    <xf borderId="18" fillId="0" fontId="3" numFmtId="0" xfId="0" applyAlignment="1" applyBorder="1" applyFont="1">
      <alignment horizontal="left" readingOrder="0" shrinkToFit="0" vertical="top" wrapText="1"/>
    </xf>
    <xf borderId="20" fillId="0" fontId="7" numFmtId="0" xfId="0" applyBorder="1" applyFont="1"/>
    <xf borderId="25" fillId="0" fontId="3" numFmtId="0" xfId="0" applyAlignment="1" applyBorder="1" applyFont="1">
      <alignment vertical="bottom"/>
    </xf>
    <xf borderId="26" fillId="0" fontId="3" numFmtId="0" xfId="0" applyAlignment="1" applyBorder="1" applyFont="1">
      <alignment vertical="bottom"/>
    </xf>
    <xf borderId="8" fillId="2" fontId="4" numFmtId="0" xfId="0" applyAlignment="1" applyBorder="1" applyFill="1" applyFont="1">
      <alignment vertical="bottom"/>
    </xf>
    <xf borderId="7" fillId="2" fontId="4" numFmtId="0" xfId="0" applyAlignment="1" applyBorder="1" applyFill="1" applyFont="1">
      <alignment vertical="bottom"/>
    </xf>
    <xf borderId="0" fillId="0" fontId="3" numFmtId="0" xfId="0" applyAlignment="1" applyFont="1">
      <alignment vertical="bottom"/>
    </xf>
    <xf borderId="12" fillId="0" fontId="3" numFmtId="0" xfId="0" applyAlignment="1" applyBorder="1" applyFont="1">
      <alignment vertical="bottom"/>
    </xf>
    <xf borderId="27" fillId="3" fontId="3" numFmtId="0" xfId="0" applyAlignment="1" applyBorder="1" applyFill="1" applyFont="1">
      <alignment vertical="bottom"/>
    </xf>
    <xf borderId="27" fillId="0" fontId="7" numFmtId="0" xfId="0" applyBorder="1" applyFont="1"/>
    <xf borderId="12" fillId="0" fontId="7" numFmtId="0" xfId="0" applyBorder="1" applyFont="1"/>
    <xf borderId="12" fillId="0" fontId="3"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deque.com/axe/devtool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mivideo.it.umich.edu/media/t/1_qy9qpl37?st=128&amp;ed=251"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w3.org/WAI/WCAG21/quickref/?showtechniques=111%2C121%2C123%2C122"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w3.org/WAI/WCAG21/quickref/?showtechniques=111%2C121%2C122%2C123%2C124%2C125%2C131%2C132%2C133%2C141%2C149%2C241&amp;currentsidebar=%23col_overview&amp;levels=aaa" TargetMode="External"/><Relationship Id="rId42" Type="http://schemas.openxmlformats.org/officeDocument/2006/relationships/hyperlink" Target="https://www.w3.org/WAI/WCAG21/quickref/?showtechniques=134%2C142%2C143%2C144%2C1410%2C1411%2C1412%2C1413%2C211%2C212%2C214%2C221%2C222%2C231%2C243%2C245%2C246%2C247%2C253%2C311%2C312%2C321%2C322%2C323%2C324%2C331%2C332%2C333%2C334%2C251" TargetMode="External"/><Relationship Id="rId41" Type="http://schemas.openxmlformats.org/officeDocument/2006/relationships/hyperlink" Target="https://www.w3.org/WAI/WCAG21/quickref/?showtechniques=111%2C121%2C122%2C123%2C124%2C125" TargetMode="External"/><Relationship Id="rId44" Type="http://schemas.openxmlformats.org/officeDocument/2006/relationships/hyperlink" Target="https://www.w3.org/WAI/WCAG21/quickref/?showtechniques=111%2C121%2C122%2C123%2C124%2C125%2C149" TargetMode="External"/><Relationship Id="rId43" Type="http://schemas.openxmlformats.org/officeDocument/2006/relationships/hyperlink" Target="https://www.w3.org/WAI/WCAG21/quickref/?showtechniques=111%2C121%2C122%2C123%2C124%2C125%2C131%2C132%2C133%2C141%2C149%2C241%2C242&amp;currentsidebar=%23col_overview&amp;levels=aaa" TargetMode="External"/><Relationship Id="rId46" Type="http://schemas.openxmlformats.org/officeDocument/2006/relationships/hyperlink" Target="https://www.w3.org/WAI/WCAG21/quickref/?showtechniques=111%2C121%2C122%2C123%2C124%2C125%2C131%2C132%2C133%2C141%2C149%2C241%2C242%2C244&amp;currentsidebar=%23col_overview&amp;levels=aaa" TargetMode="External"/><Relationship Id="rId45" Type="http://schemas.openxmlformats.org/officeDocument/2006/relationships/hyperlink" Target="https://www.w3.org/WAI/WCAG21/quickref/?showtechniques=134%2C142%2C143%2C144%2C1410%2C1411%2C1412%2C1413%2C211%2C212%2C214%2C221%2C222%2C231%2C243%2C245%2C246%2C247%2C251%2C253%2C311%2C312%2C321%2C322%2C323%2C324%2C331%2C332%2C333%2C334" TargetMode="External"/><Relationship Id="rId1" Type="http://schemas.openxmlformats.org/officeDocument/2006/relationships/hyperlink" Target="https://www.w3.org/WAI/WCAG21/quickref/?showtechniques=143" TargetMode="External"/><Relationship Id="rId2" Type="http://schemas.openxmlformats.org/officeDocument/2006/relationships/hyperlink" Target="https://www.w3.org/WAI/WCAG21/quickref/?showtechniques=134%2C142%2C143%2C144%2C1410%2C1411%2C1412%2C221%2C222%2C231%2C245%2C246%2C311%2C312%2C321%2C322%2C323%2C324%2C331" TargetMode="External"/><Relationship Id="rId3" Type="http://schemas.openxmlformats.org/officeDocument/2006/relationships/hyperlink" Target="https://www.w3.org/WAI/WCAG21/quickref/?showtechniques=134%2C142%2C143%2C144%2C1410%2C1411%2C1412%2C221%2C222%2C231%2C245%2C246%2C253%2C311%2C312%2C321%2C322%2C323%2C324%2C331%2C332%2C333%2C334" TargetMode="External"/><Relationship Id="rId4" Type="http://schemas.openxmlformats.org/officeDocument/2006/relationships/hyperlink" Target="https://www.w3.org/WAI/WCAG21/quickref/?showtechniques=143%2C1411%2C311" TargetMode="External"/><Relationship Id="rId9" Type="http://schemas.openxmlformats.org/officeDocument/2006/relationships/hyperlink" Target="https://www.w3.org/WAI/WCAG21/quickref/?showtechniques=134%2C142%2C143%2C1410%2C1411%2C1412%2C222%2C231%2C245%2C246%2C311%2C312%2C323%2C324%2C144" TargetMode="External"/><Relationship Id="rId48" Type="http://schemas.openxmlformats.org/officeDocument/2006/relationships/hyperlink" Target="https://www.w3.org/WAI/WCAG21/quickref/?showtechniques=111%2C121%2C122%2C123%2C124%2C125%2C131%2C132%2C133%2C141%2C149%2C241%2C242%2C244%2C411&amp;currentsidebar=%23col_overview&amp;levels=aaa" TargetMode="External"/><Relationship Id="rId47" Type="http://schemas.openxmlformats.org/officeDocument/2006/relationships/hyperlink" Target="https://www.w3.org/WAI/WCAG21/quickref/?showtechniques=134%2C142%2C143%2C144%2C1410%2C1411%2C1412%2C1413%2C211%2C212%2C214%2C221%2C222%2C231%2C243%2C245%2C246%2C247%2C251%2C252%2C253%2C311%2C312%2C321%2C322%2C323%2C324%2C331%2C332%2C333%2C334%2C254" TargetMode="External"/><Relationship Id="rId49" Type="http://schemas.openxmlformats.org/officeDocument/2006/relationships/hyperlink" Target="https://www.w3.org/WAI/WCAG21/quickref/?showtechniques=111%2C121%2C122%2C123%2C124%2C125%2C131%2C132%2C133%2C141%2C149%2C241%2C242%2C244%2C411%2C412&amp;currentsidebar=%23col_overview&amp;levels=aaa" TargetMode="External"/><Relationship Id="rId5" Type="http://schemas.openxmlformats.org/officeDocument/2006/relationships/hyperlink" Target="https://www.w3.org/WAI/WCAG21/quickref/?showtechniques=143%2C1411%2C311%2C312" TargetMode="External"/><Relationship Id="rId6" Type="http://schemas.openxmlformats.org/officeDocument/2006/relationships/hyperlink" Target="https://www.w3.org/WAI/WCAG21/quickref/?showtechniques=142%2C143%2C1411%2C222%2C231%2C311%2C312%2C245" TargetMode="External"/><Relationship Id="rId7" Type="http://schemas.openxmlformats.org/officeDocument/2006/relationships/hyperlink" Target="https://www.w3.org/WAI/WCAG21/quickref/?showtechniques=111%2C121%2C122%2C123%2C124%2C125%2C149%2C131&amp;currentsidebar=%23col_overview&amp;levels=aaa" TargetMode="External"/><Relationship Id="rId8" Type="http://schemas.openxmlformats.org/officeDocument/2006/relationships/hyperlink" Target="https://www.w3.org/WAI/WCAG21/quickref/?showtechniques=111" TargetMode="External"/><Relationship Id="rId31" Type="http://schemas.openxmlformats.org/officeDocument/2006/relationships/hyperlink" Target="https://www.w3.org/WAI/WCAG21/quickref/?showtechniques=142%2C143%2C1411%2C222%2C231%2C245%2C246%2C311%2C312%2C323%2C324" TargetMode="External"/><Relationship Id="rId30" Type="http://schemas.openxmlformats.org/officeDocument/2006/relationships/hyperlink" Target="https://www.w3.org/WAI/WCAG21/quickref/?showtechniques=134%2C142%2C143%2C144%2C1410%2C1411%2C1412%2C1413%2C212%2C221%2C222%2C231%2C243%2C245%2C246%2C253%2C311%2C312%2C321%2C322%2C323%2C324%2C331%2C332%2C333%2C334" TargetMode="External"/><Relationship Id="rId33" Type="http://schemas.openxmlformats.org/officeDocument/2006/relationships/hyperlink" Target="https://www.w3.org/WAI/WCAG21/quickref/?showtechniques=111%2C121%2C123%2C122" TargetMode="External"/><Relationship Id="rId32" Type="http://schemas.openxmlformats.org/officeDocument/2006/relationships/hyperlink" Target="https://www.w3.org/WAI/WCAG21/quickref/?showtechniques=111%2C121%2C122%2C123%2C124%2C125%2C131%2C132%2C149%2C133&amp;currentsidebar=%23col_overview&amp;levels=aaa" TargetMode="External"/><Relationship Id="rId35" Type="http://schemas.openxmlformats.org/officeDocument/2006/relationships/hyperlink" Target="https://www.w3.org/WAI/WCAG21/quickref/?showtechniques=134%2C142%2C143%2C144%2C1410%2C1411%2C1412%2C221%2C222%2C231%2C245%2C246%2C311%2C312%2C321%2C322%2C323%2C324%2C331%2C332%2C333%2C334" TargetMode="External"/><Relationship Id="rId34" Type="http://schemas.openxmlformats.org/officeDocument/2006/relationships/hyperlink" Target="https://www.w3.org/WAI/WCAG21/quickref/?showtechniques=134%2C142%2C143%2C144%2C1410%2C1411%2C1412%2C221%2C222%2C231%2C245%2C246%2C311%2C312%2C321%2C323%2C324%2C322" TargetMode="External"/><Relationship Id="rId37" Type="http://schemas.openxmlformats.org/officeDocument/2006/relationships/hyperlink" Target="https://www.w3.org/WAI/WCAG21/quickref/?showtechniques=111%2C121%2C122%2C123%2C124%2C125%2C131%2C132%2C133%2C149%2C141&amp;currentsidebar=%23col_overview&amp;levels=aaa" TargetMode="External"/><Relationship Id="rId36" Type="http://schemas.openxmlformats.org/officeDocument/2006/relationships/hyperlink" Target="https://www.w3.org/WAI/WCAG21/quickref/?showtechniques=134%2C142%2C143%2C144%2C1410%2C1411%2C1412%2C1413%2C212%2C221%2C222%2C231%2C243%2C245%2C246%2C247%2C253%2C311%2C312%2C321%2C322%2C323%2C324%2C331%2C332%2C333%2C334%2C211" TargetMode="External"/><Relationship Id="rId39" Type="http://schemas.openxmlformats.org/officeDocument/2006/relationships/hyperlink" Target="https://www.w3.org/WAI/WCAG21/quickref/?showtechniques=134%2C142%2C143%2C144%2C1410%2C1411%2C1412%2C1413%2C211%2C212%2C221%2C222%2C231%2C243%2C245%2C246%2C247%2C253%2C311%2C312%2C321%2C322%2C323%2C324%2C331%2C332%2C333%2C334%2C214" TargetMode="External"/><Relationship Id="rId38" Type="http://schemas.openxmlformats.org/officeDocument/2006/relationships/hyperlink" Target="https://www.w3.org/WAI/WCAG21/quickref/?showtechniques=111%2C121%2C122%2C123%2C124" TargetMode="External"/><Relationship Id="rId20" Type="http://schemas.openxmlformats.org/officeDocument/2006/relationships/hyperlink" Target="https://www.w3.org/WAI/WCAG21/quickref/?showtechniques=134%2C142%2C143%2C1411%2C222%2C231%2C245%2C246%2C311%2C312%2C323%2C324%2C1410" TargetMode="External"/><Relationship Id="rId22" Type="http://schemas.openxmlformats.org/officeDocument/2006/relationships/hyperlink" Target="https://www.w3.org/WAI/WCAG21/quickref/?showtechniques=134%2C142%2C143%2C144%2C1410%2C1411%2C1412%2C1413%2C212%2C221%2C222%2C231%2C245%2C246%2C253%2C311%2C312%2C321%2C322%2C323%2C324%2C331%2C332%2C333%2C334%2C243" TargetMode="External"/><Relationship Id="rId21" Type="http://schemas.openxmlformats.org/officeDocument/2006/relationships/hyperlink" Target="https://www.w3.org/WAI/WCAG21/quickref/?showtechniques=134%2C142%2C143%2C144%2C1410%2C1411%2C1412%2C221%2C222%2C231%2C245%2C246%2C311%2C312%2C321%2C322%2C323%2C324%2C331%2C332%2C333" TargetMode="External"/><Relationship Id="rId24" Type="http://schemas.openxmlformats.org/officeDocument/2006/relationships/hyperlink" Target="https://www.w3.org/WAI/WCAG21/quickref/?showtechniques=142%2C143%2C1411%2C222%2C231%2C245%2C246%2C311%2C312" TargetMode="External"/><Relationship Id="rId23" Type="http://schemas.openxmlformats.org/officeDocument/2006/relationships/hyperlink" Target="https://www.w3.org/WAI/WCAG21/quickref/?showtechniques=142%2C143%2C1411%2C222%2C311%2C312%2C231" TargetMode="External"/><Relationship Id="rId26" Type="http://schemas.openxmlformats.org/officeDocument/2006/relationships/hyperlink" Target="https://www.w3.org/WAI/WCAG21/quickref/?showtechniques=111%2C121%2C123%2C122" TargetMode="External"/><Relationship Id="rId25" Type="http://schemas.openxmlformats.org/officeDocument/2006/relationships/hyperlink" Target="https://www.w3.org/WAI/WCAG21/quickref/?showtechniques=111%2C121%2C122%2C123%2C124%2C125%2C131%2C132%2C149%2C133&amp;currentsidebar=%23col_overview&amp;levels=aaa" TargetMode="External"/><Relationship Id="rId28" Type="http://schemas.openxmlformats.org/officeDocument/2006/relationships/hyperlink" Target="https://www.w3.org/WAI/WCAG21/quickref/?showtechniques=134%2C142%2C143%2C1410%2C1411%2C222%2C231%2C245%2C246%2C311%2C312%2C323%2C324" TargetMode="External"/><Relationship Id="rId27" Type="http://schemas.openxmlformats.org/officeDocument/2006/relationships/hyperlink" Target="https://www.w3.org/WAI/WCAG21/quickref/?showtechniques=134%2C142%2C143%2C144%2C1410%2C1411%2C1412%2C221%2C222%2C231%2C245%2C246%2C311%2C312%2C323%2C324" TargetMode="External"/><Relationship Id="rId29" Type="http://schemas.openxmlformats.org/officeDocument/2006/relationships/hyperlink" Target="https://www.w3.org/WAI/WCAG21/quickref/?showtechniques=134%2C142%2C143%2C144%2C1410%2C1411%2C1412%2C221%2C222%2C231%2C245%2C246%2C311%2C312%2C321%2C322%2C323%2C324%2C331%2C332%2C333%2C334" TargetMode="External"/><Relationship Id="rId51" Type="http://schemas.openxmlformats.org/officeDocument/2006/relationships/drawing" Target="../drawings/drawing5.xml"/><Relationship Id="rId50" Type="http://schemas.openxmlformats.org/officeDocument/2006/relationships/hyperlink" Target="https://www.w3.org/WAI/WCAG21/quickref/?showtechniques=111%2C121%2C122%2C123%2C124%2C125%2C131%2C132%2C133%2C141%2C149%2C241%2C242%2C244%2C411%2C412%2C413&amp;currentsidebar=%23col_overview&amp;levels=aaa" TargetMode="External"/><Relationship Id="rId11" Type="http://schemas.openxmlformats.org/officeDocument/2006/relationships/hyperlink" Target="https://www.w3.org/WAI/WCAG21/quickref/?showtechniques=143%2C1411" TargetMode="External"/><Relationship Id="rId10" Type="http://schemas.openxmlformats.org/officeDocument/2006/relationships/hyperlink" Target="https://www.w3.org/WAI/WCAG21/quickref/?showtechniques=142%2C143%2C1411%2C222%2C231%2C245%2C246%2C311%2C312%2C323%2C324" TargetMode="External"/><Relationship Id="rId13" Type="http://schemas.openxmlformats.org/officeDocument/2006/relationships/hyperlink" Target="https://www.w3.org/WAI/WCAG21/quickref/?showtechniques=134%2C142%2C143%2C144%2C1410%2C1411%2C1412%2C1413%2C221%2C222%2C231%2C245%2C246%2C253%2C311%2C312%2C321%2C322%2C323%2C324%2C331%2C332%2C333%2C334" TargetMode="External"/><Relationship Id="rId12" Type="http://schemas.openxmlformats.org/officeDocument/2006/relationships/hyperlink" Target="https://www.w3.org/WAI/WCAG21/quickref/?showtechniques=134%2C142%2C143%2C144%2C1410%2C1411%2C1412%2C221%2C222%2C231%2C245%2C246%2C311%2C312%2C321%2C322%2C323%2C324%2C331" TargetMode="External"/><Relationship Id="rId15" Type="http://schemas.openxmlformats.org/officeDocument/2006/relationships/hyperlink" Target="https://www.w3.org/WAI/WCAG21/quickref/?showtechniques=142%2C143%2C1411%2C311%2C312%2C222" TargetMode="External"/><Relationship Id="rId14" Type="http://schemas.openxmlformats.org/officeDocument/2006/relationships/hyperlink" Target="https://www.w3.org/WAI/WCAG21/quickref/?showtechniques=143%2C1411%2C311%2C312" TargetMode="External"/><Relationship Id="rId17" Type="http://schemas.openxmlformats.org/officeDocument/2006/relationships/hyperlink" Target="https://www.w3.org/WAI/WCAG21/quickref/?showtechniques=111%2C121%2C122%2C123%2C124%2C125%2C131%2C149%2C132&amp;currentsidebar=%23col_overview&amp;levels=aaa" TargetMode="External"/><Relationship Id="rId16" Type="http://schemas.openxmlformats.org/officeDocument/2006/relationships/hyperlink" Target="https://www.w3.org/WAI/WCAG21/quickref/?showtechniques=142%2C143%2C1411%2C222%2C231%2C245%2C311%2C312%2C246" TargetMode="External"/><Relationship Id="rId19" Type="http://schemas.openxmlformats.org/officeDocument/2006/relationships/hyperlink" Target="https://www.w3.org/WAI/WCAG21/quickref/?showtechniques=134%2C142%2C143%2C144%2C1410%2C1411%2C1412%2C222%2C231%2C245%2C246%2C311%2C312%2C323%2C324" TargetMode="External"/><Relationship Id="rId18" Type="http://schemas.openxmlformats.org/officeDocument/2006/relationships/hyperlink" Target="https://www.w3.org/WAI/WCAG21/quickref/?showtechniques=111%2C123%2C121"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5"/>
    <col customWidth="1" min="2" max="7" width="10.63"/>
  </cols>
  <sheetData>
    <row r="1" ht="34.5" customHeight="1">
      <c r="A1" s="1" t="s">
        <v>0</v>
      </c>
      <c r="B1" s="3"/>
      <c r="C1" s="3"/>
      <c r="D1" s="3"/>
      <c r="E1" s="3"/>
      <c r="F1" s="3"/>
      <c r="G1" s="6"/>
    </row>
    <row r="2" ht="34.5" customHeight="1">
      <c r="A2" s="8" t="s">
        <v>5</v>
      </c>
      <c r="B2" s="3"/>
      <c r="C2" s="10"/>
      <c r="D2" s="3"/>
      <c r="E2" s="3"/>
      <c r="F2" s="3"/>
      <c r="G2" s="6"/>
    </row>
    <row r="3" ht="17.25" customHeight="1">
      <c r="A3" s="13" t="s">
        <v>11</v>
      </c>
      <c r="B3" s="19">
        <v>45169.0</v>
      </c>
      <c r="C3" s="22"/>
      <c r="D3" s="24"/>
      <c r="E3" s="3"/>
      <c r="F3" s="3"/>
    </row>
    <row r="4" ht="17.25" customHeight="1">
      <c r="A4" s="13" t="s">
        <v>20</v>
      </c>
      <c r="B4" s="25" t="s">
        <v>21</v>
      </c>
      <c r="C4" s="22"/>
      <c r="D4" s="24"/>
      <c r="E4" s="3"/>
      <c r="F4" s="3"/>
    </row>
    <row r="5" ht="17.25" customHeight="1">
      <c r="A5" s="13" t="s">
        <v>23</v>
      </c>
      <c r="B5" s="25" t="s">
        <v>25</v>
      </c>
      <c r="C5" s="22"/>
      <c r="D5" s="24"/>
      <c r="E5" s="3"/>
      <c r="F5" s="3"/>
    </row>
    <row r="6" ht="17.25" customHeight="1">
      <c r="A6" s="31" t="s">
        <v>27</v>
      </c>
      <c r="B6" s="34" t="s">
        <v>28</v>
      </c>
      <c r="C6" s="22"/>
      <c r="D6" s="24"/>
      <c r="E6" s="3"/>
      <c r="F6" s="3"/>
      <c r="G6" s="6"/>
    </row>
    <row r="7" ht="33.75" customHeight="1">
      <c r="A7" s="35" t="s">
        <v>29</v>
      </c>
      <c r="B7" s="3"/>
      <c r="C7" s="3"/>
      <c r="D7" s="3"/>
      <c r="E7" s="3"/>
      <c r="F7" s="3"/>
      <c r="G7" s="6"/>
    </row>
    <row r="8" ht="17.25" customHeight="1">
      <c r="A8" s="36" t="s">
        <v>30</v>
      </c>
      <c r="B8" s="39"/>
      <c r="C8" s="22"/>
      <c r="D8" s="22"/>
      <c r="E8" s="22"/>
      <c r="F8" s="24"/>
    </row>
    <row r="9" ht="17.25" customHeight="1">
      <c r="A9" s="36" t="s">
        <v>33</v>
      </c>
      <c r="B9" s="41" t="s">
        <v>34</v>
      </c>
      <c r="C9" s="22"/>
      <c r="D9" s="22"/>
      <c r="E9" s="22"/>
      <c r="F9" s="24"/>
    </row>
    <row r="10" ht="17.25" customHeight="1">
      <c r="A10" s="36" t="s">
        <v>38</v>
      </c>
      <c r="B10" s="41" t="s">
        <v>39</v>
      </c>
      <c r="C10" s="22"/>
      <c r="D10" s="22"/>
      <c r="E10" s="22"/>
      <c r="F10" s="24"/>
    </row>
    <row r="11" ht="17.25" customHeight="1">
      <c r="A11" s="36" t="s">
        <v>42</v>
      </c>
      <c r="B11" s="41" t="s">
        <v>43</v>
      </c>
      <c r="C11" s="22"/>
      <c r="D11" s="22"/>
      <c r="E11" s="22"/>
      <c r="F11" s="24"/>
    </row>
    <row r="12" ht="17.25" customHeight="1">
      <c r="A12" s="49" t="s">
        <v>32</v>
      </c>
      <c r="B12" s="51" t="s">
        <v>45</v>
      </c>
      <c r="C12" s="22"/>
      <c r="D12" s="22"/>
      <c r="E12" s="22"/>
      <c r="F12" s="24"/>
      <c r="G12" s="15"/>
    </row>
    <row r="13" ht="17.25" customHeight="1">
      <c r="A13" s="53" t="s">
        <v>48</v>
      </c>
      <c r="B13" s="56" t="s">
        <v>56</v>
      </c>
      <c r="C13" s="57"/>
      <c r="D13" s="57"/>
      <c r="E13" s="57"/>
      <c r="F13" s="58"/>
    </row>
    <row r="14" ht="17.25" customHeight="1">
      <c r="A14" s="59"/>
      <c r="F14" s="60"/>
    </row>
    <row r="15" ht="17.25" customHeight="1">
      <c r="A15" s="61"/>
      <c r="B15" s="62"/>
      <c r="C15" s="62"/>
      <c r="D15" s="62"/>
      <c r="E15" s="62"/>
      <c r="F15" s="63"/>
    </row>
    <row r="16" ht="34.5" customHeight="1">
      <c r="A16" s="35" t="s">
        <v>62</v>
      </c>
      <c r="B16" s="3"/>
      <c r="C16" s="3"/>
      <c r="D16" s="3"/>
      <c r="E16" s="3"/>
      <c r="F16" s="3"/>
      <c r="G16" s="6"/>
    </row>
    <row r="17" ht="17.25" customHeight="1">
      <c r="A17" s="36" t="s">
        <v>63</v>
      </c>
      <c r="B17" s="64"/>
      <c r="C17" s="22"/>
      <c r="D17" s="22"/>
      <c r="E17" s="22"/>
      <c r="F17" s="24"/>
    </row>
    <row r="18" ht="17.25" customHeight="1">
      <c r="A18" s="36" t="s">
        <v>65</v>
      </c>
      <c r="B18" s="66" t="s">
        <v>66</v>
      </c>
      <c r="C18" s="22"/>
      <c r="D18" s="22"/>
      <c r="E18" s="22"/>
      <c r="F18" s="24"/>
    </row>
    <row r="19" ht="17.25" customHeight="1">
      <c r="A19" s="53" t="s">
        <v>67</v>
      </c>
      <c r="B19" s="75" t="s">
        <v>69</v>
      </c>
      <c r="C19" s="57"/>
      <c r="D19" s="57"/>
      <c r="E19" s="57"/>
      <c r="F19" s="58"/>
    </row>
    <row r="20" ht="17.25" customHeight="1">
      <c r="A20" s="59"/>
      <c r="F20" s="60"/>
    </row>
    <row r="21" ht="17.25" customHeight="1">
      <c r="A21" s="61"/>
      <c r="B21" s="62"/>
      <c r="C21" s="62"/>
      <c r="D21" s="62"/>
      <c r="E21" s="62"/>
      <c r="F21" s="63"/>
    </row>
    <row r="22" ht="17.25" customHeight="1">
      <c r="A22" s="6"/>
    </row>
  </sheetData>
  <mergeCells count="15">
    <mergeCell ref="B11:F11"/>
    <mergeCell ref="B12:F12"/>
    <mergeCell ref="A13:A15"/>
    <mergeCell ref="B13:F15"/>
    <mergeCell ref="B17:F17"/>
    <mergeCell ref="B18:F18"/>
    <mergeCell ref="A19:A21"/>
    <mergeCell ref="B19:F21"/>
    <mergeCell ref="B3:D3"/>
    <mergeCell ref="B4:D4"/>
    <mergeCell ref="B5:D5"/>
    <mergeCell ref="B6:D6"/>
    <mergeCell ref="B8:F8"/>
    <mergeCell ref="B9:F9"/>
    <mergeCell ref="B10:F10"/>
  </mergeCells>
  <dataValidations>
    <dataValidation type="custom" allowBlank="1" showDropDown="1" showInputMessage="1" showErrorMessage="1" prompt="Enter a valid date" sqref="B3">
      <formula1>OR(NOT(ISERROR(DATEVALUE(B3))), AND(ISNUMBER(B3), LEFT(CELL("format", B3))="D"))</formula1>
    </dataValidation>
    <dataValidation type="list" allowBlank="1" sqref="B6">
      <formula1>"Website,Web application,Mobile,eBook,Desktop software"</formula1>
    </dataValidation>
    <dataValidation type="list" allowBlank="1" sqref="B5">
      <formula1>"Procurement,Development,Hybrid"</formula1>
    </dataValidation>
  </dataValidations>
  <hyperlinks>
    <hyperlink r:id="rId1" ref="B19"/>
  </hyperlinks>
  <printOptions gridLines="1" horizontalCentered="1"/>
  <pageMargins bottom="0.75" footer="0.0" header="0.0" left="0.7" right="0.7" top="0.75"/>
  <pageSetup fitToHeight="0"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63"/>
    <col customWidth="1" min="2" max="2" width="21.63"/>
    <col customWidth="1" min="3" max="3" width="56.0"/>
    <col customWidth="1" min="4" max="4" width="32.13"/>
  </cols>
  <sheetData>
    <row r="1">
      <c r="A1" s="2" t="s">
        <v>1</v>
      </c>
      <c r="B1" s="5" t="s">
        <v>3</v>
      </c>
      <c r="D1" s="5"/>
    </row>
    <row r="2" ht="10.5" customHeight="1">
      <c r="A2" s="9"/>
      <c r="B2" s="9"/>
      <c r="C2" s="9"/>
      <c r="D2" s="9"/>
    </row>
    <row r="3">
      <c r="A3" s="32" t="s">
        <v>10</v>
      </c>
      <c r="D3" s="33"/>
    </row>
    <row r="4" ht="17.25" customHeight="1">
      <c r="A4" s="37" t="s">
        <v>4</v>
      </c>
      <c r="B4" s="37" t="s">
        <v>31</v>
      </c>
      <c r="C4" s="37" t="s">
        <v>32</v>
      </c>
      <c r="D4" s="38"/>
    </row>
    <row r="5" ht="17.25" customHeight="1">
      <c r="A5" s="44" t="s">
        <v>35</v>
      </c>
      <c r="B5" s="45" t="s">
        <v>40</v>
      </c>
      <c r="C5" s="45" t="s">
        <v>41</v>
      </c>
      <c r="D5" s="46"/>
    </row>
    <row r="6" ht="17.25" customHeight="1">
      <c r="A6" s="48" t="s">
        <v>44</v>
      </c>
      <c r="B6" s="50" t="s">
        <v>40</v>
      </c>
      <c r="C6" s="50" t="s">
        <v>46</v>
      </c>
      <c r="D6" s="46"/>
    </row>
    <row r="7" ht="17.25" customHeight="1">
      <c r="A7" s="52" t="s">
        <v>47</v>
      </c>
      <c r="B7" s="52" t="s">
        <v>49</v>
      </c>
      <c r="C7" s="52" t="s">
        <v>51</v>
      </c>
      <c r="D7" s="46"/>
    </row>
    <row r="8" ht="17.25" customHeight="1">
      <c r="A8" s="52" t="s">
        <v>52</v>
      </c>
      <c r="B8" s="52" t="s">
        <v>53</v>
      </c>
      <c r="C8" s="52" t="s">
        <v>54</v>
      </c>
      <c r="D8" s="46"/>
    </row>
    <row r="9" ht="17.25" customHeight="1">
      <c r="A9" s="52" t="s">
        <v>55</v>
      </c>
      <c r="B9" s="52" t="s">
        <v>53</v>
      </c>
      <c r="C9" s="52" t="s">
        <v>54</v>
      </c>
      <c r="D9" s="46"/>
    </row>
    <row r="10" ht="17.25" customHeight="1">
      <c r="A10" s="52" t="s">
        <v>58</v>
      </c>
      <c r="B10" s="52" t="s">
        <v>53</v>
      </c>
      <c r="C10" s="52" t="s">
        <v>54</v>
      </c>
      <c r="D10" s="46"/>
    </row>
    <row r="11" ht="17.25" customHeight="1">
      <c r="A11" s="52" t="s">
        <v>61</v>
      </c>
      <c r="B11" s="52" t="s">
        <v>53</v>
      </c>
      <c r="C11" s="52" t="s">
        <v>54</v>
      </c>
      <c r="D11" s="46"/>
    </row>
    <row r="12" ht="17.25" customHeight="1">
      <c r="A12" s="52"/>
      <c r="B12" s="52"/>
      <c r="C12" s="52"/>
      <c r="D12" s="46"/>
    </row>
    <row r="13" ht="17.25" customHeight="1">
      <c r="A13" s="52"/>
      <c r="B13" s="52"/>
      <c r="C13" s="52"/>
      <c r="D13" s="46"/>
    </row>
    <row r="14" ht="17.25" customHeight="1">
      <c r="A14" s="52"/>
      <c r="B14" s="52"/>
      <c r="C14" s="52"/>
      <c r="D14" s="46"/>
    </row>
    <row r="15" ht="17.25" customHeight="1">
      <c r="A15" s="52"/>
      <c r="B15" s="52"/>
      <c r="C15" s="52"/>
      <c r="D15" s="46"/>
    </row>
    <row r="16" ht="17.25" customHeight="1">
      <c r="A16" s="52"/>
      <c r="B16" s="52"/>
      <c r="C16" s="52"/>
      <c r="D16" s="46"/>
    </row>
    <row r="17" ht="17.25" customHeight="1">
      <c r="A17" s="52"/>
      <c r="B17" s="52"/>
      <c r="C17" s="52"/>
      <c r="D17" s="46"/>
    </row>
    <row r="18" ht="17.25" customHeight="1">
      <c r="A18" s="52"/>
      <c r="B18" s="52"/>
      <c r="C18" s="52"/>
      <c r="D18" s="46"/>
    </row>
    <row r="19" ht="17.25" customHeight="1">
      <c r="A19" s="52"/>
      <c r="B19" s="52"/>
      <c r="C19" s="52"/>
      <c r="D19" s="46"/>
    </row>
    <row r="20" ht="17.25" customHeight="1">
      <c r="A20" s="52"/>
      <c r="B20" s="52"/>
      <c r="C20" s="52"/>
      <c r="D20" s="46"/>
    </row>
    <row r="21" ht="17.25" customHeight="1">
      <c r="A21" s="52"/>
      <c r="B21" s="52"/>
      <c r="C21" s="52"/>
      <c r="D21" s="46"/>
    </row>
    <row r="22" ht="17.25" customHeight="1">
      <c r="A22" s="52"/>
      <c r="B22" s="52"/>
      <c r="C22" s="52"/>
      <c r="D22" s="46"/>
    </row>
    <row r="23" ht="17.25" customHeight="1">
      <c r="A23" s="52"/>
      <c r="B23" s="52"/>
      <c r="C23" s="52"/>
      <c r="D23" s="46"/>
    </row>
    <row r="24" ht="17.25" customHeight="1">
      <c r="A24" s="52"/>
      <c r="B24" s="52"/>
      <c r="C24" s="52"/>
      <c r="D24" s="46"/>
    </row>
    <row r="25" ht="17.25" customHeight="1">
      <c r="A25" s="52"/>
      <c r="B25" s="52"/>
      <c r="C25" s="52"/>
      <c r="D25" s="46"/>
    </row>
    <row r="26" ht="17.25" customHeight="1">
      <c r="A26" s="52"/>
      <c r="B26" s="52"/>
      <c r="C26" s="52"/>
      <c r="D26" s="46"/>
    </row>
    <row r="27" ht="17.25" customHeight="1">
      <c r="A27" s="52"/>
      <c r="B27" s="52"/>
      <c r="C27" s="52"/>
      <c r="D27" s="46"/>
    </row>
    <row r="28" ht="17.25" customHeight="1">
      <c r="A28" s="52"/>
      <c r="B28" s="52"/>
      <c r="C28" s="52"/>
      <c r="D28" s="46"/>
    </row>
    <row r="29" ht="17.25" customHeight="1">
      <c r="A29" s="52"/>
      <c r="B29" s="52"/>
      <c r="C29" s="52"/>
      <c r="D29" s="46"/>
    </row>
    <row r="30" ht="17.25" customHeight="1">
      <c r="A30" s="52"/>
      <c r="B30" s="52"/>
      <c r="C30" s="52"/>
      <c r="D30" s="46"/>
    </row>
    <row r="31" ht="17.25" customHeight="1">
      <c r="A31" s="52"/>
      <c r="B31" s="52"/>
      <c r="C31" s="52"/>
      <c r="D31" s="46"/>
    </row>
    <row r="32" ht="17.25" customHeight="1">
      <c r="A32" s="52"/>
      <c r="B32" s="52"/>
      <c r="C32" s="52"/>
      <c r="D32" s="46"/>
    </row>
    <row r="33" ht="17.25" customHeight="1">
      <c r="A33" s="52"/>
      <c r="B33" s="52"/>
      <c r="C33" s="52"/>
      <c r="D33" s="46"/>
    </row>
    <row r="34" ht="17.25" customHeight="1">
      <c r="A34" s="52"/>
      <c r="B34" s="52"/>
      <c r="C34" s="52"/>
      <c r="D34" s="46"/>
    </row>
    <row r="35" ht="17.25" customHeight="1">
      <c r="A35" s="52"/>
      <c r="B35" s="52"/>
      <c r="C35" s="52"/>
      <c r="D35" s="46"/>
    </row>
    <row r="36" ht="17.25" customHeight="1">
      <c r="A36" s="52"/>
      <c r="B36" s="52"/>
      <c r="C36" s="52"/>
      <c r="D36" s="46"/>
    </row>
    <row r="37" ht="17.25" customHeight="1">
      <c r="A37" s="52"/>
      <c r="B37" s="52"/>
      <c r="C37" s="52"/>
      <c r="D37" s="46"/>
    </row>
    <row r="38" ht="17.25" customHeight="1">
      <c r="A38" s="52"/>
      <c r="B38" s="52"/>
      <c r="C38" s="52"/>
      <c r="D38" s="46"/>
    </row>
    <row r="39" ht="17.25" customHeight="1">
      <c r="A39" s="70"/>
      <c r="B39" s="70"/>
      <c r="C39" s="70"/>
      <c r="D39" s="46"/>
    </row>
    <row r="40" ht="17.25" customHeight="1">
      <c r="A40" s="52"/>
      <c r="B40" s="52"/>
      <c r="C40" s="52"/>
      <c r="D40" s="46"/>
    </row>
    <row r="41" ht="17.25" customHeight="1">
      <c r="A41" s="52"/>
      <c r="B41" s="52"/>
      <c r="C41" s="52"/>
      <c r="D41" s="46"/>
    </row>
    <row r="42" ht="17.25" customHeight="1">
      <c r="A42" s="52"/>
      <c r="B42" s="52"/>
      <c r="C42" s="52"/>
      <c r="D42" s="46"/>
    </row>
    <row r="43" ht="17.25" customHeight="1">
      <c r="A43" s="52"/>
      <c r="B43" s="52"/>
      <c r="C43" s="52"/>
      <c r="D43" s="46"/>
    </row>
    <row r="44" ht="17.25" customHeight="1">
      <c r="A44" s="52"/>
      <c r="B44" s="52"/>
      <c r="C44" s="52"/>
      <c r="D44" s="46"/>
    </row>
    <row r="45" ht="17.25" customHeight="1">
      <c r="A45" s="52"/>
      <c r="B45" s="52"/>
      <c r="C45" s="52"/>
      <c r="D45" s="46"/>
    </row>
    <row r="46" ht="17.25" customHeight="1">
      <c r="A46" s="52"/>
      <c r="B46" s="52"/>
      <c r="C46" s="52"/>
      <c r="D46" s="46"/>
    </row>
    <row r="47" ht="17.25" customHeight="1">
      <c r="A47" s="52"/>
      <c r="B47" s="52"/>
      <c r="C47" s="52"/>
      <c r="D47" s="46"/>
    </row>
    <row r="48" ht="17.25" customHeight="1">
      <c r="A48" s="52"/>
      <c r="B48" s="52"/>
      <c r="C48" s="52"/>
      <c r="D48" s="46"/>
    </row>
    <row r="49" ht="17.25" customHeight="1">
      <c r="A49" s="52"/>
      <c r="B49" s="52"/>
      <c r="C49" s="52"/>
      <c r="D49" s="46"/>
    </row>
    <row r="50" ht="17.25" customHeight="1">
      <c r="A50" s="52"/>
      <c r="B50" s="52"/>
      <c r="C50" s="52"/>
      <c r="D50" s="46"/>
    </row>
    <row r="51" ht="17.25" customHeight="1">
      <c r="A51" s="52"/>
      <c r="B51" s="52"/>
      <c r="C51" s="52"/>
      <c r="D51" s="46"/>
    </row>
    <row r="52" ht="17.25" customHeight="1">
      <c r="A52" s="52"/>
      <c r="B52" s="52"/>
      <c r="C52" s="52"/>
      <c r="D52" s="46"/>
    </row>
    <row r="53" ht="17.25" customHeight="1">
      <c r="A53" s="52"/>
      <c r="B53" s="52"/>
      <c r="C53" s="52"/>
      <c r="D53" s="46"/>
    </row>
    <row r="54" ht="17.25" customHeight="1">
      <c r="A54" s="52"/>
      <c r="B54" s="52"/>
      <c r="C54" s="52"/>
      <c r="D54" s="46"/>
    </row>
    <row r="55" ht="17.25" customHeight="1">
      <c r="A55" s="52"/>
      <c r="B55" s="52"/>
      <c r="C55" s="52"/>
      <c r="D55" s="46"/>
    </row>
    <row r="56" ht="17.25" customHeight="1">
      <c r="A56" s="52"/>
      <c r="B56" s="52"/>
      <c r="C56" s="52"/>
      <c r="D56" s="46"/>
    </row>
    <row r="57" ht="17.25" customHeight="1">
      <c r="A57" s="52"/>
      <c r="B57" s="52"/>
      <c r="C57" s="52"/>
      <c r="D57" s="46"/>
    </row>
    <row r="58" ht="17.25" customHeight="1">
      <c r="A58" s="52"/>
      <c r="B58" s="52"/>
      <c r="C58" s="52"/>
      <c r="D58" s="46"/>
    </row>
    <row r="59" ht="17.25" customHeight="1">
      <c r="A59" s="52"/>
      <c r="B59" s="52"/>
      <c r="C59" s="52"/>
      <c r="D59" s="46"/>
    </row>
    <row r="60" ht="17.25" customHeight="1">
      <c r="A60" s="52"/>
      <c r="B60" s="52"/>
      <c r="C60" s="52"/>
      <c r="D60" s="46"/>
    </row>
    <row r="61" ht="17.25" customHeight="1">
      <c r="A61" s="52"/>
      <c r="B61" s="52"/>
      <c r="C61" s="52"/>
      <c r="D61" s="46"/>
    </row>
    <row r="62" ht="17.25" customHeight="1">
      <c r="A62" s="52"/>
      <c r="B62" s="52"/>
      <c r="C62" s="52"/>
      <c r="D62" s="46"/>
    </row>
    <row r="63" ht="17.25" customHeight="1">
      <c r="A63" s="52"/>
      <c r="B63" s="52"/>
      <c r="C63" s="52"/>
      <c r="D63" s="46"/>
    </row>
    <row r="64" ht="17.25" customHeight="1">
      <c r="A64" s="52"/>
      <c r="B64" s="52"/>
      <c r="C64" s="52"/>
      <c r="D64" s="46"/>
    </row>
    <row r="65" ht="17.25" customHeight="1">
      <c r="A65" s="52"/>
      <c r="B65" s="52"/>
      <c r="C65" s="52"/>
      <c r="D65" s="46"/>
    </row>
    <row r="66" ht="17.25" customHeight="1">
      <c r="A66" s="52"/>
      <c r="B66" s="52"/>
      <c r="C66" s="52"/>
      <c r="D66" s="46"/>
    </row>
    <row r="67" ht="17.25" customHeight="1">
      <c r="A67" s="52"/>
      <c r="B67" s="52"/>
      <c r="C67" s="52"/>
      <c r="D67" s="46"/>
    </row>
    <row r="68" ht="17.25" customHeight="1">
      <c r="A68" s="52"/>
      <c r="B68" s="52"/>
      <c r="C68" s="52"/>
      <c r="D68" s="46"/>
    </row>
    <row r="69" ht="17.25" customHeight="1">
      <c r="A69" s="52"/>
      <c r="B69" s="52"/>
      <c r="C69" s="52"/>
      <c r="D69" s="46"/>
    </row>
    <row r="70" ht="17.25" customHeight="1">
      <c r="A70" s="52"/>
      <c r="B70" s="52"/>
      <c r="C70" s="52"/>
      <c r="D70" s="46"/>
    </row>
    <row r="71" ht="17.25" customHeight="1">
      <c r="A71" s="52"/>
      <c r="B71" s="52"/>
      <c r="C71" s="52"/>
      <c r="D71" s="46"/>
    </row>
    <row r="72" ht="17.25" customHeight="1">
      <c r="A72" s="52"/>
      <c r="B72" s="52"/>
      <c r="C72" s="52"/>
      <c r="D72" s="46"/>
    </row>
    <row r="73" ht="17.25" customHeight="1">
      <c r="A73" s="70"/>
      <c r="B73" s="70"/>
      <c r="C73" s="70"/>
      <c r="D73" s="46"/>
    </row>
    <row r="74" ht="17.25" customHeight="1">
      <c r="A74" s="52"/>
      <c r="B74" s="52"/>
      <c r="C74" s="52"/>
      <c r="D74" s="46"/>
    </row>
    <row r="75" ht="17.25" customHeight="1">
      <c r="A75" s="52"/>
      <c r="B75" s="52"/>
      <c r="C75" s="52"/>
      <c r="D75" s="46"/>
    </row>
    <row r="76" ht="17.25" customHeight="1">
      <c r="A76" s="52"/>
      <c r="B76" s="52"/>
      <c r="C76" s="52"/>
      <c r="D76" s="46"/>
    </row>
    <row r="77" ht="17.25" customHeight="1">
      <c r="A77" s="52"/>
      <c r="B77" s="52"/>
      <c r="C77" s="52"/>
      <c r="D77" s="46"/>
    </row>
    <row r="78" ht="17.25" customHeight="1">
      <c r="A78" s="52"/>
      <c r="B78" s="52"/>
      <c r="C78" s="52"/>
      <c r="D78" s="46"/>
    </row>
    <row r="79" ht="17.25" customHeight="1">
      <c r="A79" s="52"/>
      <c r="B79" s="52"/>
      <c r="C79" s="52"/>
      <c r="D79" s="46"/>
    </row>
    <row r="80" ht="17.25" customHeight="1">
      <c r="A80" s="52"/>
      <c r="B80" s="52"/>
      <c r="C80" s="52"/>
      <c r="D80" s="46"/>
    </row>
    <row r="81" ht="17.25" customHeight="1">
      <c r="A81" s="52"/>
      <c r="B81" s="52"/>
      <c r="C81" s="52"/>
      <c r="D81" s="46"/>
    </row>
    <row r="82" ht="17.25" customHeight="1">
      <c r="A82" s="52"/>
      <c r="B82" s="52"/>
      <c r="C82" s="52"/>
      <c r="D82" s="46"/>
    </row>
    <row r="83" ht="17.25" customHeight="1">
      <c r="A83" s="52"/>
      <c r="B83" s="52"/>
      <c r="C83" s="52"/>
      <c r="D83" s="46"/>
    </row>
    <row r="84" ht="17.25" customHeight="1">
      <c r="A84" s="52"/>
      <c r="B84" s="52"/>
      <c r="C84" s="52"/>
      <c r="D84" s="46"/>
    </row>
    <row r="85" ht="17.25" customHeight="1">
      <c r="A85" s="52"/>
      <c r="B85" s="52"/>
      <c r="C85" s="52"/>
      <c r="D85" s="46"/>
    </row>
    <row r="86" ht="17.25" customHeight="1">
      <c r="A86" s="52"/>
      <c r="B86" s="52"/>
      <c r="C86" s="52"/>
      <c r="D86" s="46"/>
    </row>
    <row r="87" ht="17.25" customHeight="1">
      <c r="A87" s="52"/>
      <c r="B87" s="52"/>
      <c r="C87" s="52"/>
      <c r="D87" s="46"/>
    </row>
    <row r="88" ht="17.25" customHeight="1">
      <c r="A88" s="52"/>
      <c r="B88" s="52"/>
      <c r="C88" s="52"/>
      <c r="D88" s="46"/>
    </row>
    <row r="89" ht="17.25" customHeight="1">
      <c r="A89" s="52"/>
      <c r="B89" s="52"/>
      <c r="C89" s="52"/>
      <c r="D89" s="46"/>
    </row>
    <row r="90" ht="17.25" customHeight="1">
      <c r="A90" s="52"/>
      <c r="B90" s="52"/>
      <c r="C90" s="52"/>
      <c r="D90" s="46"/>
    </row>
    <row r="91" ht="17.25" customHeight="1">
      <c r="A91" s="52"/>
      <c r="B91" s="52"/>
      <c r="C91" s="52"/>
      <c r="D91" s="46"/>
    </row>
    <row r="92" ht="17.25" customHeight="1">
      <c r="A92" s="52"/>
      <c r="B92" s="52"/>
      <c r="C92" s="52"/>
      <c r="D92" s="46"/>
    </row>
    <row r="93" ht="17.25" customHeight="1">
      <c r="A93" s="52"/>
      <c r="B93" s="52"/>
      <c r="C93" s="52"/>
      <c r="D93" s="46"/>
    </row>
    <row r="94" ht="17.25" customHeight="1">
      <c r="A94" s="52"/>
      <c r="B94" s="52"/>
      <c r="C94" s="52"/>
      <c r="D94" s="46"/>
    </row>
    <row r="95" ht="17.25" customHeight="1">
      <c r="A95" s="52"/>
      <c r="B95" s="52"/>
      <c r="C95" s="52"/>
      <c r="D95" s="46"/>
    </row>
    <row r="96" ht="17.25" customHeight="1">
      <c r="A96" s="52"/>
      <c r="B96" s="52"/>
      <c r="C96" s="52"/>
      <c r="D96" s="46"/>
    </row>
    <row r="97" ht="17.25" customHeight="1">
      <c r="A97" s="52"/>
      <c r="B97" s="52"/>
      <c r="C97" s="52"/>
      <c r="D97" s="46"/>
    </row>
    <row r="98" ht="17.25" customHeight="1">
      <c r="A98" s="52"/>
      <c r="B98" s="52"/>
      <c r="C98" s="52"/>
      <c r="D98" s="46"/>
    </row>
    <row r="99" ht="17.25" customHeight="1">
      <c r="A99" s="52"/>
      <c r="B99" s="52"/>
      <c r="C99" s="52"/>
      <c r="D99" s="46"/>
    </row>
    <row r="100" ht="17.25" customHeight="1">
      <c r="A100" s="52"/>
      <c r="B100" s="52"/>
      <c r="C100" s="52"/>
      <c r="D100" s="46"/>
    </row>
    <row r="101" ht="17.25" customHeight="1">
      <c r="A101" s="52"/>
      <c r="B101" s="52"/>
      <c r="C101" s="52"/>
      <c r="D101" s="46"/>
    </row>
    <row r="102" ht="17.25" customHeight="1">
      <c r="A102" s="52"/>
      <c r="B102" s="52"/>
      <c r="C102" s="52"/>
      <c r="D102" s="82"/>
    </row>
    <row r="103" ht="17.25" customHeight="1">
      <c r="A103" s="52"/>
      <c r="B103" s="52"/>
      <c r="C103" s="52"/>
      <c r="D103" s="82"/>
    </row>
    <row r="104" ht="17.25" customHeight="1">
      <c r="A104" s="52"/>
      <c r="B104" s="52"/>
      <c r="C104" s="52"/>
      <c r="D104" s="82"/>
    </row>
    <row r="105" ht="17.25" customHeight="1">
      <c r="A105" s="52"/>
      <c r="B105" s="52"/>
      <c r="C105" s="52"/>
      <c r="D105" s="82"/>
    </row>
    <row r="106" ht="17.25" customHeight="1">
      <c r="A106" s="52"/>
      <c r="B106" s="52"/>
      <c r="C106" s="52"/>
      <c r="D106" s="82"/>
    </row>
    <row r="107" ht="17.25" customHeight="1">
      <c r="A107" s="70"/>
      <c r="B107" s="70"/>
      <c r="C107" s="70"/>
      <c r="D107" s="82"/>
    </row>
    <row r="108" ht="17.25" customHeight="1">
      <c r="A108" s="52"/>
      <c r="B108" s="52"/>
      <c r="C108" s="52"/>
      <c r="D108" s="82"/>
    </row>
    <row r="109" ht="17.25" customHeight="1">
      <c r="A109" s="52"/>
      <c r="B109" s="52"/>
      <c r="C109" s="52"/>
      <c r="D109" s="82"/>
    </row>
    <row r="110" ht="17.25" customHeight="1">
      <c r="A110" s="52"/>
      <c r="B110" s="52"/>
      <c r="C110" s="52"/>
      <c r="D110" s="82"/>
    </row>
    <row r="111" ht="17.25" customHeight="1">
      <c r="A111" s="44"/>
      <c r="B111" s="52"/>
      <c r="C111" s="52"/>
      <c r="D111" s="82"/>
    </row>
    <row r="112" ht="17.25" customHeight="1">
      <c r="A112" s="48"/>
      <c r="B112" s="52"/>
      <c r="C112" s="52"/>
      <c r="D112" s="82"/>
    </row>
    <row r="113" ht="17.25" customHeight="1">
      <c r="A113" s="52"/>
      <c r="B113" s="52"/>
      <c r="C113" s="52"/>
      <c r="D113" s="82"/>
    </row>
    <row r="114" ht="17.25" customHeight="1">
      <c r="A114" s="52"/>
      <c r="B114" s="52"/>
      <c r="C114" s="52"/>
      <c r="D114" s="82"/>
    </row>
    <row r="115" ht="17.25" customHeight="1">
      <c r="A115" s="52"/>
      <c r="B115" s="52"/>
      <c r="C115" s="52"/>
      <c r="D115" s="82"/>
    </row>
    <row r="116" ht="17.25" customHeight="1">
      <c r="A116" s="52"/>
      <c r="B116" s="52"/>
      <c r="C116" s="52"/>
      <c r="D116" s="82"/>
    </row>
    <row r="117" ht="17.25" customHeight="1">
      <c r="A117" s="52"/>
      <c r="B117" s="52"/>
      <c r="C117" s="52"/>
      <c r="D117" s="82"/>
    </row>
    <row r="118" ht="17.25" customHeight="1">
      <c r="A118" s="52"/>
      <c r="B118" s="52"/>
      <c r="C118" s="52"/>
      <c r="D118" s="82"/>
    </row>
    <row r="119" ht="17.25" customHeight="1">
      <c r="A119" s="52"/>
      <c r="B119" s="52"/>
      <c r="C119" s="52"/>
      <c r="D119" s="82"/>
    </row>
    <row r="120" ht="17.25" customHeight="1">
      <c r="A120" s="52"/>
      <c r="B120" s="52"/>
      <c r="C120" s="52"/>
      <c r="D120" s="82"/>
    </row>
    <row r="121" ht="17.25" customHeight="1">
      <c r="A121" s="52"/>
      <c r="B121" s="52"/>
      <c r="C121" s="52"/>
      <c r="D121" s="82"/>
    </row>
    <row r="122" ht="17.25" customHeight="1">
      <c r="A122" s="52"/>
      <c r="B122" s="52"/>
      <c r="C122" s="52"/>
      <c r="D122" s="82"/>
    </row>
    <row r="123" ht="17.25" customHeight="1">
      <c r="A123" s="52"/>
      <c r="B123" s="52"/>
      <c r="C123" s="52"/>
      <c r="D123" s="82"/>
    </row>
    <row r="124" ht="17.25" customHeight="1">
      <c r="A124" s="52"/>
      <c r="B124" s="52"/>
      <c r="C124" s="52"/>
      <c r="D124" s="82"/>
    </row>
    <row r="125" ht="17.25" customHeight="1">
      <c r="A125" s="52"/>
      <c r="B125" s="52"/>
      <c r="C125" s="52"/>
      <c r="D125" s="82"/>
    </row>
    <row r="126" ht="17.25" customHeight="1">
      <c r="A126" s="52"/>
      <c r="B126" s="52"/>
      <c r="C126" s="52"/>
      <c r="D126" s="82"/>
    </row>
    <row r="127" ht="17.25" customHeight="1">
      <c r="A127" s="52"/>
      <c r="B127" s="52"/>
      <c r="C127" s="52"/>
      <c r="D127" s="82"/>
    </row>
    <row r="128" ht="17.25" customHeight="1">
      <c r="A128" s="52"/>
      <c r="B128" s="52"/>
      <c r="C128" s="52"/>
      <c r="D128" s="82"/>
    </row>
    <row r="129" ht="17.25" customHeight="1">
      <c r="A129" s="52"/>
      <c r="B129" s="52"/>
      <c r="C129" s="52"/>
      <c r="D129" s="82"/>
    </row>
    <row r="130" ht="17.25" customHeight="1">
      <c r="A130" s="52"/>
      <c r="B130" s="52"/>
      <c r="C130" s="52"/>
      <c r="D130" s="82"/>
    </row>
    <row r="131" ht="17.25" customHeight="1">
      <c r="A131" s="52"/>
      <c r="B131" s="52"/>
      <c r="C131" s="52"/>
      <c r="D131" s="82"/>
    </row>
    <row r="132" ht="17.25" customHeight="1">
      <c r="A132" s="52"/>
      <c r="B132" s="52"/>
      <c r="C132" s="52"/>
      <c r="D132" s="82"/>
    </row>
    <row r="133" ht="17.25" customHeight="1">
      <c r="A133" s="52"/>
      <c r="B133" s="52"/>
      <c r="C133" s="52"/>
      <c r="D133" s="82"/>
    </row>
    <row r="134" ht="17.25" customHeight="1">
      <c r="A134" s="52"/>
      <c r="B134" s="52"/>
      <c r="C134" s="52"/>
      <c r="D134" s="82"/>
    </row>
    <row r="135" ht="17.25" customHeight="1">
      <c r="A135" s="52"/>
      <c r="B135" s="52"/>
      <c r="C135" s="52"/>
      <c r="D135" s="82"/>
    </row>
    <row r="136" ht="17.25" customHeight="1">
      <c r="A136" s="52"/>
      <c r="B136" s="52"/>
      <c r="C136" s="52"/>
      <c r="D136" s="82"/>
    </row>
    <row r="137" ht="17.25" customHeight="1">
      <c r="A137" s="52"/>
      <c r="B137" s="52"/>
      <c r="C137" s="52"/>
      <c r="D137" s="82"/>
    </row>
    <row r="138" ht="17.25" customHeight="1">
      <c r="A138" s="52"/>
      <c r="B138" s="52"/>
      <c r="C138" s="52"/>
      <c r="D138" s="82"/>
    </row>
  </sheetData>
  <mergeCells count="2">
    <mergeCell ref="B1:C1"/>
    <mergeCell ref="A3:C3"/>
  </mergeCells>
  <hyperlinks>
    <hyperlink r:id="rId1" ref="A3"/>
  </hyperlinks>
  <printOptions gridLines="1" horizontalCentered="1"/>
  <pageMargins bottom="0.75" footer="0.0" header="0.0" left="0.7" right="0.7" top="0.75"/>
  <pageSetup fitToHeight="0" cellComments="atEnd" orientation="landscape"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6.75"/>
    <col customWidth="1" min="3" max="3" width="7.0"/>
    <col customWidth="1" min="4" max="5" width="10.63"/>
  </cols>
  <sheetData>
    <row r="1" ht="17.25" customHeight="1">
      <c r="A1" s="11" t="s">
        <v>7</v>
      </c>
      <c r="B1" s="15"/>
      <c r="C1" s="15"/>
      <c r="D1" s="15"/>
      <c r="E1" s="15"/>
    </row>
    <row r="2" ht="47.25" customHeight="1">
      <c r="A2" s="17" t="s">
        <v>17</v>
      </c>
    </row>
    <row r="3" ht="33.75" customHeight="1">
      <c r="A3" s="21" t="s">
        <v>19</v>
      </c>
      <c r="B3" s="23"/>
      <c r="C3" s="23"/>
      <c r="D3" s="23"/>
      <c r="E3" s="15"/>
    </row>
    <row r="4">
      <c r="A4" s="26" t="s">
        <v>22</v>
      </c>
      <c r="B4" s="22"/>
      <c r="C4" s="22"/>
      <c r="D4" s="24"/>
      <c r="E4" s="27"/>
    </row>
    <row r="5" ht="17.25" customHeight="1">
      <c r="A5" s="21" t="s">
        <v>24</v>
      </c>
      <c r="B5" s="28"/>
      <c r="C5" s="29"/>
      <c r="D5" s="15"/>
      <c r="E5" s="15"/>
    </row>
    <row r="6" ht="17.25" customHeight="1">
      <c r="A6" s="30" t="s">
        <v>26</v>
      </c>
      <c r="B6" s="40">
        <f>counta('Findings Issues'!G2:G49)</f>
        <v>1</v>
      </c>
      <c r="C6" s="42" t="s">
        <v>36</v>
      </c>
      <c r="D6" s="15"/>
      <c r="E6" s="15"/>
    </row>
    <row r="7" ht="17.25" customHeight="1">
      <c r="A7" s="43" t="s">
        <v>37</v>
      </c>
      <c r="B7" s="40">
        <f>Countif('Findings Issues'!G1:G49,"5  Blocker")</f>
        <v>1</v>
      </c>
      <c r="C7" s="54">
        <f>IF(NOT(B6=0),divide(B7,B6))</f>
        <v>1</v>
      </c>
      <c r="D7" s="15"/>
      <c r="E7" s="15"/>
    </row>
    <row r="8" ht="17.25" customHeight="1">
      <c r="A8" s="43" t="s">
        <v>59</v>
      </c>
      <c r="B8" s="40">
        <f>Countif('Findings Issues'!G2:G49,"4  Critical")</f>
        <v>0</v>
      </c>
      <c r="C8" s="54">
        <f>IF(NOT(B6=0),divide(B8,B6))</f>
        <v>0</v>
      </c>
      <c r="D8" s="15"/>
      <c r="E8" s="15"/>
    </row>
    <row r="9" ht="17.25" customHeight="1">
      <c r="A9" s="43" t="s">
        <v>64</v>
      </c>
      <c r="B9" s="40">
        <f>Countif('Findings Issues'!G2:G49,"3  Major")</f>
        <v>0</v>
      </c>
      <c r="C9" s="68">
        <f>IF(NOT(B6=0),divide(B9,B6))</f>
        <v>0</v>
      </c>
      <c r="D9" s="15"/>
      <c r="E9" s="15"/>
    </row>
    <row r="10" ht="33.75" customHeight="1">
      <c r="A10" s="43" t="s">
        <v>71</v>
      </c>
      <c r="B10" s="72">
        <f>Countif('Findings Issues'!G2:G49,"2  Minor")</f>
        <v>0</v>
      </c>
      <c r="C10" s="68">
        <f>IF(NOT(B6=0),divide(B10,B6))</f>
        <v>0</v>
      </c>
      <c r="D10" s="15"/>
      <c r="E10" s="15"/>
    </row>
    <row r="11" ht="17.25" customHeight="1">
      <c r="A11" s="43" t="s">
        <v>74</v>
      </c>
      <c r="B11" s="40">
        <f>Countif('Findings Issues'!G2:G49,"1  Best practice")</f>
        <v>0</v>
      </c>
      <c r="C11" s="77">
        <f>IF(NOT(B6=0),divide(B11,B6))</f>
        <v>0</v>
      </c>
      <c r="D11" s="15"/>
      <c r="E11" s="15"/>
    </row>
    <row r="12" ht="17.25" customHeight="1">
      <c r="A12" s="78" t="s">
        <v>75</v>
      </c>
      <c r="B12" s="28"/>
      <c r="C12" s="29"/>
      <c r="D12" s="15"/>
      <c r="E12" s="15"/>
    </row>
    <row r="13" ht="17.25" customHeight="1">
      <c r="A13" s="79" t="s">
        <v>76</v>
      </c>
      <c r="B13" s="80">
        <f>counta('Findings Issues'!D2:D56)</f>
        <v>1</v>
      </c>
      <c r="C13" s="81"/>
      <c r="D13" s="15"/>
      <c r="E13" s="15"/>
    </row>
    <row r="14" ht="17.25" customHeight="1">
      <c r="A14" s="79" t="s">
        <v>50</v>
      </c>
      <c r="B14" s="83">
        <f>countIF('Findings Issues'!D1:D99,"Instructions")</f>
        <v>1</v>
      </c>
      <c r="C14" s="84">
        <f t="shared" ref="C14:C23" si="1">IF(NOT($B$13=0),divide(B14,$B$13))</f>
        <v>1</v>
      </c>
      <c r="D14" s="15"/>
      <c r="E14" s="15"/>
    </row>
    <row r="15" ht="17.25" customHeight="1">
      <c r="A15" s="79" t="s">
        <v>77</v>
      </c>
      <c r="B15" s="85">
        <f>countIF('Findings Issues'!D1:D99,"Contrast")</f>
        <v>0</v>
      </c>
      <c r="C15" s="84">
        <f t="shared" si="1"/>
        <v>0</v>
      </c>
      <c r="D15" s="15"/>
      <c r="E15" s="15"/>
    </row>
    <row r="16" ht="17.25" customHeight="1">
      <c r="A16" s="79" t="s">
        <v>78</v>
      </c>
      <c r="B16" s="85">
        <f>countIF('Findings Issues'!D1:D100,"Keyboard and other Input")</f>
        <v>0</v>
      </c>
      <c r="C16" s="84">
        <f t="shared" si="1"/>
        <v>0</v>
      </c>
      <c r="D16" s="15"/>
      <c r="E16" s="15"/>
    </row>
    <row r="17" ht="17.25" customHeight="1">
      <c r="A17" s="79" t="s">
        <v>79</v>
      </c>
      <c r="B17" s="85">
        <f>countIF('Findings Issues'!D2:D101,"Language")</f>
        <v>0</v>
      </c>
      <c r="C17" s="84">
        <f t="shared" si="1"/>
        <v>0</v>
      </c>
      <c r="D17" s="15"/>
      <c r="E17" s="15"/>
    </row>
    <row r="18" ht="17.25" customHeight="1">
      <c r="A18" s="79" t="s">
        <v>81</v>
      </c>
      <c r="B18" s="85">
        <f>countIF('Findings Issues'!D3:D102,"Media Control")</f>
        <v>0</v>
      </c>
      <c r="C18" s="84">
        <f t="shared" si="1"/>
        <v>0</v>
      </c>
      <c r="D18" s="15"/>
      <c r="E18" s="15"/>
    </row>
    <row r="19" ht="17.25" customHeight="1">
      <c r="A19" s="79" t="s">
        <v>83</v>
      </c>
      <c r="B19" s="85">
        <f>countIF('Findings Issues'!D4:D103,"Navigation and Consistency")</f>
        <v>0</v>
      </c>
      <c r="C19" s="84">
        <f t="shared" si="1"/>
        <v>0</v>
      </c>
      <c r="D19" s="15"/>
      <c r="E19" s="15"/>
    </row>
    <row r="20" ht="17.25" customHeight="1">
      <c r="A20" s="79" t="s">
        <v>86</v>
      </c>
      <c r="B20" s="85">
        <f>countIF('Findings Issues'!D5:D104,"Semantics and Structure")</f>
        <v>0</v>
      </c>
      <c r="C20" s="84">
        <f t="shared" si="1"/>
        <v>0</v>
      </c>
      <c r="D20" s="15"/>
      <c r="E20" s="15"/>
    </row>
    <row r="21" ht="17.25" customHeight="1">
      <c r="A21" s="79" t="s">
        <v>89</v>
      </c>
      <c r="B21" s="85">
        <f>countIF('Findings Issues'!D6:D105,"Text Alternatives")</f>
        <v>0</v>
      </c>
      <c r="C21" s="84">
        <f t="shared" si="1"/>
        <v>0</v>
      </c>
      <c r="D21" s="15"/>
      <c r="E21" s="15"/>
    </row>
    <row r="22" ht="17.25" customHeight="1">
      <c r="A22" s="79" t="s">
        <v>91</v>
      </c>
      <c r="B22" s="85">
        <f>countIF('Findings Issues'!D7:D106,"User Controls")</f>
        <v>0</v>
      </c>
      <c r="C22" s="84">
        <f t="shared" si="1"/>
        <v>0</v>
      </c>
      <c r="D22" s="15"/>
      <c r="E22" s="15"/>
    </row>
    <row r="23" ht="17.25" customHeight="1">
      <c r="A23" s="94" t="s">
        <v>92</v>
      </c>
      <c r="B23" s="85">
        <f>countIF('Findings Issues'!D8:D107,"Adaptability")</f>
        <v>0</v>
      </c>
      <c r="C23" s="84">
        <f t="shared" si="1"/>
        <v>0</v>
      </c>
      <c r="D23" s="15"/>
      <c r="E23" s="15"/>
    </row>
    <row r="24" ht="17.25" customHeight="1">
      <c r="A24" s="15"/>
      <c r="B24" s="15"/>
      <c r="C24" s="15"/>
      <c r="D24" s="15"/>
      <c r="E24" s="15"/>
    </row>
    <row r="25" ht="17.25" customHeight="1">
      <c r="A25" s="15"/>
      <c r="B25" s="15"/>
      <c r="C25" s="15"/>
      <c r="D25" s="15"/>
      <c r="E25" s="15"/>
    </row>
  </sheetData>
  <mergeCells count="2">
    <mergeCell ref="A2:E2"/>
    <mergeCell ref="A4:D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min="2" max="2" width="29.0"/>
    <col customWidth="1" min="3" max="3" width="32.63"/>
    <col customWidth="1" min="4" max="4" width="16.25"/>
    <col customWidth="1" min="5" max="5" width="26.88"/>
    <col customWidth="1" min="6" max="6" width="15.13"/>
    <col customWidth="1" min="7" max="7" width="11.0"/>
    <col customWidth="1" min="8" max="8" width="34.13"/>
    <col customWidth="1" min="9" max="12" width="17.5"/>
  </cols>
  <sheetData>
    <row r="1">
      <c r="A1" s="4" t="s">
        <v>2</v>
      </c>
      <c r="B1" s="7" t="s">
        <v>4</v>
      </c>
      <c r="C1" s="7" t="s">
        <v>6</v>
      </c>
      <c r="D1" s="7" t="s">
        <v>8</v>
      </c>
      <c r="E1" s="12" t="s">
        <v>9</v>
      </c>
      <c r="F1" s="14" t="s">
        <v>12</v>
      </c>
      <c r="G1" s="16" t="s">
        <v>13</v>
      </c>
      <c r="H1" s="16" t="s">
        <v>14</v>
      </c>
      <c r="I1" s="16" t="s">
        <v>15</v>
      </c>
      <c r="J1" s="7" t="s">
        <v>16</v>
      </c>
      <c r="K1" s="7" t="s">
        <v>18</v>
      </c>
      <c r="L1" s="18"/>
    </row>
    <row r="2">
      <c r="A2" s="20">
        <v>1.0</v>
      </c>
      <c r="B2" s="47" t="s">
        <v>35</v>
      </c>
      <c r="C2" s="47"/>
      <c r="D2" s="47" t="s">
        <v>50</v>
      </c>
      <c r="E2" s="55" t="s">
        <v>57</v>
      </c>
      <c r="F2" s="65" t="s">
        <v>60</v>
      </c>
      <c r="G2" s="67" t="s">
        <v>68</v>
      </c>
      <c r="H2" s="69" t="s">
        <v>70</v>
      </c>
      <c r="I2" s="69" t="s">
        <v>72</v>
      </c>
      <c r="J2" s="71" t="b">
        <v>0</v>
      </c>
      <c r="K2" s="71" t="s">
        <v>73</v>
      </c>
      <c r="L2" s="73"/>
    </row>
    <row r="3">
      <c r="A3" s="20">
        <v>2.0</v>
      </c>
      <c r="B3" s="47"/>
      <c r="C3" s="47"/>
      <c r="D3" s="47"/>
      <c r="E3" s="47"/>
      <c r="F3" s="74"/>
      <c r="G3" s="67"/>
      <c r="H3" s="67"/>
      <c r="I3" s="67"/>
      <c r="J3" s="20" t="b">
        <v>0</v>
      </c>
      <c r="K3" s="20" t="s">
        <v>73</v>
      </c>
      <c r="L3" s="73"/>
    </row>
    <row r="4">
      <c r="A4" s="20">
        <v>3.0</v>
      </c>
      <c r="B4" s="47"/>
      <c r="C4" s="47"/>
      <c r="D4" s="47"/>
      <c r="E4" s="47"/>
      <c r="F4" s="65"/>
      <c r="G4" s="67"/>
      <c r="H4" s="67"/>
      <c r="I4" s="67"/>
      <c r="J4" s="20" t="b">
        <v>0</v>
      </c>
      <c r="K4" s="20" t="s">
        <v>73</v>
      </c>
      <c r="L4" s="73"/>
    </row>
    <row r="5">
      <c r="A5" s="20">
        <v>4.0</v>
      </c>
      <c r="B5" s="47"/>
      <c r="C5" s="47"/>
      <c r="D5" s="47"/>
      <c r="E5" s="76"/>
      <c r="F5" s="65"/>
      <c r="G5" s="67"/>
      <c r="H5" s="67"/>
      <c r="I5" s="67"/>
      <c r="J5" s="20" t="b">
        <v>0</v>
      </c>
      <c r="K5" s="20" t="s">
        <v>73</v>
      </c>
      <c r="L5" s="73"/>
    </row>
    <row r="6">
      <c r="A6" s="20">
        <v>5.0</v>
      </c>
      <c r="B6" s="47"/>
      <c r="C6" s="47"/>
      <c r="D6" s="47"/>
      <c r="E6" s="47"/>
      <c r="F6" s="65"/>
      <c r="G6" s="67"/>
      <c r="H6" s="67"/>
      <c r="I6" s="67"/>
      <c r="J6" s="20" t="b">
        <v>0</v>
      </c>
      <c r="K6" s="20" t="s">
        <v>73</v>
      </c>
      <c r="L6" s="73"/>
    </row>
    <row r="7">
      <c r="A7" s="20">
        <v>6.0</v>
      </c>
      <c r="B7" s="47"/>
      <c r="C7" s="47"/>
      <c r="D7" s="47"/>
      <c r="E7" s="47"/>
      <c r="F7" s="65"/>
      <c r="G7" s="67"/>
      <c r="H7" s="67"/>
      <c r="I7" s="67"/>
      <c r="J7" s="20" t="b">
        <v>0</v>
      </c>
      <c r="K7" s="20" t="s">
        <v>73</v>
      </c>
      <c r="L7" s="73"/>
    </row>
    <row r="8">
      <c r="A8" s="20">
        <v>7.0</v>
      </c>
      <c r="B8" s="47"/>
      <c r="C8" s="47"/>
      <c r="D8" s="47"/>
      <c r="E8" s="47"/>
      <c r="F8" s="65"/>
      <c r="G8" s="67"/>
      <c r="H8" s="67"/>
      <c r="I8" s="67"/>
      <c r="J8" s="20" t="b">
        <v>0</v>
      </c>
      <c r="K8" s="20" t="s">
        <v>73</v>
      </c>
      <c r="L8" s="73"/>
    </row>
    <row r="9">
      <c r="A9" s="20">
        <v>8.0</v>
      </c>
      <c r="B9" s="47"/>
      <c r="C9" s="47"/>
      <c r="D9" s="47"/>
      <c r="E9" s="47"/>
      <c r="F9" s="65"/>
      <c r="G9" s="67"/>
      <c r="H9" s="67"/>
      <c r="I9" s="67"/>
      <c r="J9" s="20" t="b">
        <v>0</v>
      </c>
      <c r="K9" s="20" t="s">
        <v>73</v>
      </c>
      <c r="L9" s="73"/>
    </row>
    <row r="10">
      <c r="A10" s="20">
        <v>9.0</v>
      </c>
      <c r="B10" s="47"/>
      <c r="C10" s="47"/>
      <c r="D10" s="47"/>
      <c r="E10" s="47"/>
      <c r="F10" s="65"/>
      <c r="G10" s="67"/>
      <c r="H10" s="67"/>
      <c r="I10" s="67"/>
      <c r="J10" s="20" t="b">
        <v>0</v>
      </c>
      <c r="K10" s="20" t="s">
        <v>73</v>
      </c>
      <c r="L10" s="73"/>
    </row>
    <row r="11">
      <c r="A11" s="20">
        <v>10.0</v>
      </c>
      <c r="B11" s="47"/>
      <c r="C11" s="47"/>
      <c r="D11" s="47"/>
      <c r="E11" s="47"/>
      <c r="F11" s="65"/>
      <c r="G11" s="67"/>
      <c r="H11" s="67"/>
      <c r="I11" s="67"/>
      <c r="J11" s="20" t="b">
        <v>0</v>
      </c>
      <c r="K11" s="20" t="s">
        <v>73</v>
      </c>
      <c r="L11" s="73"/>
    </row>
    <row r="12">
      <c r="A12" s="20">
        <v>11.0</v>
      </c>
      <c r="B12" s="47"/>
      <c r="C12" s="47"/>
      <c r="D12" s="47"/>
      <c r="E12" s="47"/>
      <c r="F12" s="65"/>
      <c r="G12" s="67"/>
      <c r="H12" s="67"/>
      <c r="I12" s="67"/>
      <c r="J12" s="20" t="b">
        <v>0</v>
      </c>
      <c r="K12" s="20" t="s">
        <v>73</v>
      </c>
      <c r="L12" s="73"/>
    </row>
    <row r="13">
      <c r="A13" s="20">
        <v>12.0</v>
      </c>
      <c r="B13" s="47"/>
      <c r="C13" s="47"/>
      <c r="D13" s="47"/>
      <c r="E13" s="47"/>
      <c r="F13" s="65"/>
      <c r="G13" s="67"/>
      <c r="H13" s="67"/>
      <c r="I13" s="67"/>
      <c r="J13" s="20" t="b">
        <v>0</v>
      </c>
      <c r="K13" s="20" t="s">
        <v>73</v>
      </c>
      <c r="L13" s="73"/>
    </row>
    <row r="14">
      <c r="A14" s="20">
        <v>13.0</v>
      </c>
      <c r="B14" s="47"/>
      <c r="C14" s="47"/>
      <c r="D14" s="47"/>
      <c r="E14" s="47"/>
      <c r="F14" s="65"/>
      <c r="G14" s="67"/>
      <c r="H14" s="67"/>
      <c r="I14" s="67"/>
      <c r="J14" s="20" t="b">
        <v>0</v>
      </c>
      <c r="K14" s="20" t="s">
        <v>73</v>
      </c>
      <c r="L14" s="73"/>
    </row>
    <row r="15">
      <c r="A15" s="20">
        <v>14.0</v>
      </c>
      <c r="B15" s="47"/>
      <c r="C15" s="47"/>
      <c r="D15" s="47"/>
      <c r="E15" s="47"/>
      <c r="F15" s="65"/>
      <c r="G15" s="67"/>
      <c r="H15" s="67"/>
      <c r="I15" s="67"/>
      <c r="J15" s="20" t="b">
        <v>0</v>
      </c>
      <c r="K15" s="20" t="s">
        <v>73</v>
      </c>
      <c r="L15" s="73"/>
    </row>
    <row r="16">
      <c r="A16" s="20">
        <v>15.0</v>
      </c>
      <c r="B16" s="47"/>
      <c r="C16" s="47"/>
      <c r="D16" s="47"/>
      <c r="E16" s="47"/>
      <c r="F16" s="65"/>
      <c r="G16" s="67"/>
      <c r="H16" s="67"/>
      <c r="I16" s="67"/>
      <c r="J16" s="20" t="b">
        <v>0</v>
      </c>
      <c r="K16" s="20" t="s">
        <v>73</v>
      </c>
      <c r="L16" s="73"/>
    </row>
    <row r="17">
      <c r="A17" s="20">
        <v>16.0</v>
      </c>
      <c r="B17" s="47"/>
      <c r="C17" s="47"/>
      <c r="D17" s="47"/>
      <c r="E17" s="47"/>
      <c r="F17" s="65"/>
      <c r="G17" s="67"/>
      <c r="H17" s="67"/>
      <c r="I17" s="67"/>
      <c r="J17" s="20" t="b">
        <v>0</v>
      </c>
      <c r="K17" s="20" t="s">
        <v>73</v>
      </c>
      <c r="L17" s="73"/>
    </row>
    <row r="18">
      <c r="A18" s="20">
        <v>17.0</v>
      </c>
      <c r="B18" s="47"/>
      <c r="C18" s="47"/>
      <c r="D18" s="47"/>
      <c r="E18" s="47"/>
      <c r="F18" s="65"/>
      <c r="G18" s="67"/>
      <c r="H18" s="67"/>
      <c r="I18" s="67"/>
      <c r="J18" s="20" t="b">
        <v>0</v>
      </c>
      <c r="K18" s="20" t="s">
        <v>73</v>
      </c>
      <c r="L18" s="73"/>
    </row>
    <row r="19">
      <c r="A19" s="20">
        <v>18.0</v>
      </c>
      <c r="B19" s="47"/>
      <c r="C19" s="47"/>
      <c r="D19" s="47"/>
      <c r="E19" s="47"/>
      <c r="F19" s="65"/>
      <c r="G19" s="67"/>
      <c r="H19" s="67"/>
      <c r="I19" s="67"/>
      <c r="J19" s="20" t="b">
        <v>0</v>
      </c>
      <c r="K19" s="20" t="s">
        <v>73</v>
      </c>
      <c r="L19" s="73"/>
    </row>
    <row r="20">
      <c r="A20" s="20">
        <v>19.0</v>
      </c>
      <c r="B20" s="47"/>
      <c r="C20" s="47"/>
      <c r="D20" s="47"/>
      <c r="E20" s="47"/>
      <c r="F20" s="65"/>
      <c r="G20" s="67"/>
      <c r="H20" s="67"/>
      <c r="I20" s="67"/>
      <c r="J20" s="20" t="b">
        <v>0</v>
      </c>
      <c r="K20" s="20" t="s">
        <v>73</v>
      </c>
      <c r="L20" s="73"/>
    </row>
    <row r="21">
      <c r="A21" s="20">
        <v>20.0</v>
      </c>
      <c r="B21" s="47"/>
      <c r="C21" s="47"/>
      <c r="D21" s="47"/>
      <c r="E21" s="47"/>
      <c r="F21" s="65"/>
      <c r="G21" s="67"/>
      <c r="H21" s="67"/>
      <c r="I21" s="67"/>
      <c r="J21" s="20" t="b">
        <v>0</v>
      </c>
      <c r="K21" s="20" t="s">
        <v>73</v>
      </c>
      <c r="L21" s="73"/>
    </row>
    <row r="22">
      <c r="A22" s="20">
        <v>21.0</v>
      </c>
      <c r="B22" s="47"/>
      <c r="C22" s="47"/>
      <c r="D22" s="47"/>
      <c r="E22" s="47"/>
      <c r="F22" s="65"/>
      <c r="G22" s="67"/>
      <c r="H22" s="67"/>
      <c r="I22" s="67"/>
      <c r="J22" s="20" t="b">
        <v>0</v>
      </c>
      <c r="K22" s="20" t="s">
        <v>73</v>
      </c>
      <c r="L22" s="73"/>
    </row>
    <row r="23">
      <c r="A23" s="20">
        <v>22.0</v>
      </c>
      <c r="B23" s="47"/>
      <c r="C23" s="47"/>
      <c r="D23" s="47"/>
      <c r="E23" s="47"/>
      <c r="F23" s="65"/>
      <c r="G23" s="67"/>
      <c r="H23" s="67"/>
      <c r="I23" s="67"/>
      <c r="J23" s="20" t="b">
        <v>0</v>
      </c>
      <c r="K23" s="20" t="s">
        <v>73</v>
      </c>
      <c r="L23" s="73"/>
    </row>
    <row r="24">
      <c r="A24" s="20">
        <v>23.0</v>
      </c>
      <c r="B24" s="47"/>
      <c r="C24" s="47"/>
      <c r="D24" s="47"/>
      <c r="E24" s="47"/>
      <c r="F24" s="65"/>
      <c r="G24" s="67"/>
      <c r="H24" s="67"/>
      <c r="I24" s="67"/>
      <c r="J24" s="20" t="b">
        <v>0</v>
      </c>
      <c r="K24" s="20" t="s">
        <v>73</v>
      </c>
      <c r="L24" s="73"/>
    </row>
    <row r="25">
      <c r="A25" s="20">
        <v>24.0</v>
      </c>
      <c r="B25" s="47"/>
      <c r="C25" s="47"/>
      <c r="D25" s="47"/>
      <c r="E25" s="47"/>
      <c r="F25" s="65"/>
      <c r="G25" s="67"/>
      <c r="H25" s="67"/>
      <c r="I25" s="67"/>
      <c r="J25" s="20" t="b">
        <v>0</v>
      </c>
      <c r="K25" s="20" t="s">
        <v>73</v>
      </c>
      <c r="L25" s="73"/>
    </row>
    <row r="26">
      <c r="A26" s="20">
        <v>25.0</v>
      </c>
      <c r="B26" s="47"/>
      <c r="C26" s="47"/>
      <c r="D26" s="47"/>
      <c r="E26" s="47"/>
      <c r="F26" s="65"/>
      <c r="G26" s="67"/>
      <c r="H26" s="67"/>
      <c r="I26" s="67"/>
      <c r="J26" s="20" t="b">
        <v>0</v>
      </c>
      <c r="K26" s="20" t="s">
        <v>73</v>
      </c>
      <c r="L26" s="73"/>
    </row>
    <row r="27">
      <c r="A27" s="20">
        <v>26.0</v>
      </c>
      <c r="B27" s="47"/>
      <c r="C27" s="47"/>
      <c r="D27" s="47"/>
      <c r="E27" s="47"/>
      <c r="F27" s="65"/>
      <c r="G27" s="67"/>
      <c r="H27" s="67"/>
      <c r="I27" s="67"/>
      <c r="J27" s="20" t="b">
        <v>0</v>
      </c>
      <c r="K27" s="20" t="s">
        <v>73</v>
      </c>
      <c r="L27" s="73"/>
    </row>
    <row r="28">
      <c r="A28" s="20">
        <v>27.0</v>
      </c>
      <c r="B28" s="47"/>
      <c r="C28" s="47"/>
      <c r="D28" s="47"/>
      <c r="E28" s="47"/>
      <c r="F28" s="65"/>
      <c r="G28" s="67"/>
      <c r="H28" s="67"/>
      <c r="I28" s="67"/>
      <c r="J28" s="20" t="b">
        <v>0</v>
      </c>
      <c r="K28" s="20" t="s">
        <v>73</v>
      </c>
      <c r="L28" s="73"/>
    </row>
    <row r="29">
      <c r="A29" s="20">
        <v>28.0</v>
      </c>
      <c r="B29" s="47"/>
      <c r="C29" s="47"/>
      <c r="D29" s="47"/>
      <c r="E29" s="47"/>
      <c r="F29" s="65"/>
      <c r="G29" s="67"/>
      <c r="H29" s="67"/>
      <c r="I29" s="67"/>
      <c r="J29" s="20" t="b">
        <v>0</v>
      </c>
      <c r="K29" s="20" t="s">
        <v>73</v>
      </c>
      <c r="L29" s="73"/>
    </row>
    <row r="30">
      <c r="A30" s="20">
        <v>29.0</v>
      </c>
      <c r="B30" s="47"/>
      <c r="C30" s="47"/>
      <c r="D30" s="47"/>
      <c r="E30" s="47"/>
      <c r="F30" s="65"/>
      <c r="G30" s="67"/>
      <c r="H30" s="67"/>
      <c r="I30" s="67"/>
      <c r="J30" s="20" t="b">
        <v>0</v>
      </c>
      <c r="K30" s="20" t="s">
        <v>73</v>
      </c>
      <c r="L30" s="73"/>
    </row>
    <row r="31">
      <c r="A31" s="20">
        <v>30.0</v>
      </c>
      <c r="B31" s="47"/>
      <c r="C31" s="47"/>
      <c r="D31" s="47"/>
      <c r="E31" s="47"/>
      <c r="F31" s="65"/>
      <c r="G31" s="67"/>
      <c r="H31" s="67"/>
      <c r="I31" s="67"/>
      <c r="J31" s="20" t="b">
        <v>0</v>
      </c>
      <c r="K31" s="20" t="s">
        <v>73</v>
      </c>
      <c r="L31" s="73"/>
    </row>
    <row r="32">
      <c r="A32" s="20">
        <v>31.0</v>
      </c>
      <c r="B32" s="47"/>
      <c r="C32" s="47"/>
      <c r="D32" s="47"/>
      <c r="E32" s="47"/>
      <c r="F32" s="65"/>
      <c r="G32" s="67"/>
      <c r="H32" s="67"/>
      <c r="I32" s="67"/>
      <c r="J32" s="20" t="b">
        <v>0</v>
      </c>
      <c r="K32" s="20" t="s">
        <v>73</v>
      </c>
      <c r="L32" s="73"/>
    </row>
    <row r="33">
      <c r="A33" s="20">
        <v>32.0</v>
      </c>
      <c r="B33" s="47"/>
      <c r="C33" s="47"/>
      <c r="D33" s="47"/>
      <c r="E33" s="47"/>
      <c r="F33" s="65"/>
      <c r="G33" s="67"/>
      <c r="H33" s="67"/>
      <c r="I33" s="67"/>
      <c r="J33" s="20" t="b">
        <v>0</v>
      </c>
      <c r="K33" s="20" t="s">
        <v>73</v>
      </c>
      <c r="L33" s="73"/>
    </row>
    <row r="34">
      <c r="A34" s="20">
        <v>33.0</v>
      </c>
      <c r="B34" s="47"/>
      <c r="C34" s="47"/>
      <c r="D34" s="47"/>
      <c r="E34" s="47"/>
      <c r="F34" s="65"/>
      <c r="G34" s="67"/>
      <c r="H34" s="67"/>
      <c r="I34" s="67"/>
      <c r="J34" s="20" t="b">
        <v>0</v>
      </c>
      <c r="K34" s="20" t="s">
        <v>73</v>
      </c>
      <c r="L34" s="73"/>
    </row>
    <row r="35">
      <c r="A35" s="20">
        <v>34.0</v>
      </c>
      <c r="B35" s="47"/>
      <c r="C35" s="47"/>
      <c r="D35" s="47"/>
      <c r="E35" s="47"/>
      <c r="F35" s="65"/>
      <c r="G35" s="67"/>
      <c r="H35" s="67"/>
      <c r="I35" s="67"/>
      <c r="J35" s="20" t="b">
        <v>0</v>
      </c>
      <c r="K35" s="20" t="s">
        <v>73</v>
      </c>
      <c r="L35" s="73"/>
    </row>
    <row r="36">
      <c r="A36" s="20">
        <v>35.0</v>
      </c>
      <c r="B36" s="47"/>
      <c r="C36" s="47"/>
      <c r="D36" s="47"/>
      <c r="E36" s="47"/>
      <c r="F36" s="65"/>
      <c r="G36" s="67"/>
      <c r="H36" s="67"/>
      <c r="I36" s="67"/>
      <c r="J36" s="20" t="b">
        <v>0</v>
      </c>
      <c r="K36" s="20" t="s">
        <v>73</v>
      </c>
      <c r="L36" s="73"/>
    </row>
    <row r="37">
      <c r="A37" s="20">
        <v>36.0</v>
      </c>
      <c r="B37" s="47"/>
      <c r="C37" s="47"/>
      <c r="D37" s="47"/>
      <c r="E37" s="47"/>
      <c r="F37" s="65"/>
      <c r="G37" s="67"/>
      <c r="H37" s="67"/>
      <c r="I37" s="67"/>
      <c r="J37" s="20" t="b">
        <v>0</v>
      </c>
      <c r="K37" s="20" t="s">
        <v>73</v>
      </c>
      <c r="L37" s="73"/>
    </row>
    <row r="38">
      <c r="A38" s="20">
        <v>37.0</v>
      </c>
      <c r="B38" s="47"/>
      <c r="C38" s="47"/>
      <c r="D38" s="47"/>
      <c r="E38" s="47"/>
      <c r="F38" s="47"/>
      <c r="G38" s="67"/>
      <c r="H38" s="67"/>
      <c r="I38" s="67"/>
      <c r="J38" s="20" t="b">
        <v>0</v>
      </c>
      <c r="K38" s="20" t="s">
        <v>73</v>
      </c>
      <c r="L38" s="73"/>
    </row>
    <row r="39">
      <c r="A39" s="20">
        <v>38.0</v>
      </c>
      <c r="B39" s="47"/>
      <c r="C39" s="47"/>
      <c r="D39" s="47"/>
      <c r="E39" s="47"/>
      <c r="F39" s="47"/>
      <c r="G39" s="67"/>
      <c r="H39" s="67"/>
      <c r="I39" s="67"/>
      <c r="J39" s="20" t="b">
        <v>0</v>
      </c>
      <c r="K39" s="20" t="s">
        <v>73</v>
      </c>
      <c r="L39" s="73"/>
    </row>
    <row r="40">
      <c r="A40" s="20">
        <v>39.0</v>
      </c>
      <c r="B40" s="47"/>
      <c r="C40" s="47"/>
      <c r="D40" s="47"/>
      <c r="E40" s="47"/>
      <c r="F40" s="47"/>
      <c r="G40" s="67"/>
      <c r="H40" s="67"/>
      <c r="I40" s="67"/>
      <c r="J40" s="20" t="b">
        <v>0</v>
      </c>
      <c r="K40" s="20" t="s">
        <v>73</v>
      </c>
      <c r="L40" s="73"/>
    </row>
    <row r="41">
      <c r="A41" s="20">
        <v>40.0</v>
      </c>
      <c r="B41" s="47"/>
      <c r="C41" s="47"/>
      <c r="D41" s="47"/>
      <c r="E41" s="47"/>
      <c r="F41" s="47"/>
      <c r="G41" s="67"/>
      <c r="H41" s="67"/>
      <c r="I41" s="67"/>
      <c r="J41" s="20" t="b">
        <v>0</v>
      </c>
      <c r="K41" s="20" t="s">
        <v>73</v>
      </c>
      <c r="L41" s="73"/>
    </row>
    <row r="42">
      <c r="A42" s="20">
        <v>41.0</v>
      </c>
      <c r="B42" s="47"/>
      <c r="C42" s="47"/>
      <c r="D42" s="47"/>
      <c r="E42" s="47"/>
      <c r="F42" s="47"/>
      <c r="G42" s="67"/>
      <c r="H42" s="67"/>
      <c r="I42" s="67"/>
      <c r="J42" s="20" t="b">
        <v>0</v>
      </c>
      <c r="K42" s="20" t="s">
        <v>73</v>
      </c>
      <c r="L42" s="73"/>
    </row>
    <row r="43">
      <c r="A43" s="20">
        <v>42.0</v>
      </c>
      <c r="B43" s="47"/>
      <c r="C43" s="47"/>
      <c r="D43" s="47"/>
      <c r="E43" s="47"/>
      <c r="F43" s="47"/>
      <c r="G43" s="67"/>
      <c r="H43" s="67"/>
      <c r="I43" s="67"/>
      <c r="J43" s="20" t="b">
        <v>0</v>
      </c>
      <c r="K43" s="20" t="s">
        <v>73</v>
      </c>
      <c r="L43" s="73"/>
    </row>
    <row r="44">
      <c r="A44" s="20">
        <v>43.0</v>
      </c>
      <c r="B44" s="47"/>
      <c r="C44" s="47"/>
      <c r="D44" s="47"/>
      <c r="E44" s="47"/>
      <c r="F44" s="47"/>
      <c r="G44" s="67"/>
      <c r="H44" s="67"/>
      <c r="I44" s="67"/>
      <c r="J44" s="20" t="b">
        <v>0</v>
      </c>
      <c r="K44" s="20" t="s">
        <v>73</v>
      </c>
      <c r="L44" s="73"/>
    </row>
    <row r="45">
      <c r="A45" s="20">
        <v>44.0</v>
      </c>
      <c r="B45" s="47"/>
      <c r="C45" s="47"/>
      <c r="D45" s="47"/>
      <c r="E45" s="47"/>
      <c r="F45" s="47"/>
      <c r="G45" s="67"/>
      <c r="H45" s="67"/>
      <c r="I45" s="67"/>
      <c r="J45" s="20" t="b">
        <v>0</v>
      </c>
      <c r="K45" s="20" t="s">
        <v>73</v>
      </c>
      <c r="L45" s="73"/>
    </row>
    <row r="46">
      <c r="A46" s="20">
        <v>45.0</v>
      </c>
      <c r="B46" s="47"/>
      <c r="C46" s="47"/>
      <c r="D46" s="47"/>
      <c r="E46" s="47"/>
      <c r="F46" s="47"/>
      <c r="G46" s="67"/>
      <c r="H46" s="67"/>
      <c r="I46" s="67"/>
      <c r="J46" s="20" t="b">
        <v>0</v>
      </c>
      <c r="K46" s="20" t="s">
        <v>73</v>
      </c>
      <c r="L46" s="73"/>
    </row>
    <row r="47">
      <c r="A47" s="20">
        <v>46.0</v>
      </c>
      <c r="B47" s="47"/>
      <c r="C47" s="47"/>
      <c r="D47" s="47"/>
      <c r="E47" s="47"/>
      <c r="F47" s="47"/>
      <c r="G47" s="67"/>
      <c r="H47" s="67"/>
      <c r="I47" s="67"/>
      <c r="J47" s="20" t="b">
        <v>0</v>
      </c>
      <c r="K47" s="20" t="s">
        <v>73</v>
      </c>
      <c r="L47" s="73"/>
    </row>
    <row r="48">
      <c r="A48" s="20">
        <v>47.0</v>
      </c>
      <c r="B48" s="47"/>
      <c r="C48" s="47"/>
      <c r="D48" s="47"/>
      <c r="E48" s="47"/>
      <c r="F48" s="47"/>
      <c r="G48" s="67"/>
      <c r="H48" s="67"/>
      <c r="I48" s="67"/>
      <c r="J48" s="20" t="b">
        <v>0</v>
      </c>
      <c r="K48" s="20" t="s">
        <v>73</v>
      </c>
      <c r="L48" s="73"/>
    </row>
    <row r="49">
      <c r="A49" s="20">
        <v>48.0</v>
      </c>
      <c r="B49" s="47"/>
      <c r="C49" s="47"/>
      <c r="D49" s="47"/>
      <c r="E49" s="47"/>
      <c r="F49" s="47"/>
      <c r="G49" s="67"/>
      <c r="H49" s="67"/>
      <c r="I49" s="67"/>
      <c r="J49" s="20" t="b">
        <v>0</v>
      </c>
      <c r="K49" s="20" t="s">
        <v>73</v>
      </c>
      <c r="L49" s="73"/>
    </row>
  </sheetData>
  <dataValidations>
    <dataValidation type="list" allowBlank="1" showErrorMessage="1" sqref="B2:B49">
      <formula1>GenericTestList</formula1>
    </dataValidation>
    <dataValidation type="list" allowBlank="1" showErrorMessage="1" sqref="K2:K49">
      <formula1>"Not tested by UM A11y team,Not fixed, tested by UM A11y team,Fixed, tested by UM A11y team"</formula1>
    </dataValidation>
    <dataValidation type="list" allowBlank="1" showErrorMessage="1" sqref="D2:D49">
      <formula1>Reference!$B$4:$K$4</formula1>
    </dataValidation>
    <dataValidation type="list" allowBlank="1" showErrorMessage="1" sqref="G2:G49">
      <formula1>Severity</formula1>
    </dataValidation>
    <dataValidation type="list" allowBlank="1" sqref="E2">
      <formula1>Reference!$I$5:$I$11</formula1>
    </dataValidation>
  </dataValidations>
  <hyperlinks>
    <hyperlink r:id="rId1" location="captions-prerecorded" ref="F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22.25"/>
    <col customWidth="1" min="3" max="3" width="25.0"/>
    <col customWidth="1" min="4" max="4" width="28.13"/>
    <col customWidth="1" min="5" max="5" width="21.5"/>
    <col customWidth="1" min="6" max="6" width="25.13"/>
    <col customWidth="1" min="7" max="7" width="26.0"/>
    <col customWidth="1" min="8" max="8" width="26.13"/>
    <col customWidth="1" min="9" max="9" width="47.63"/>
    <col customWidth="1" min="10" max="10" width="20.38"/>
    <col customWidth="1" min="11" max="11" width="29.13"/>
    <col customWidth="1" min="12" max="12" width="4.63"/>
  </cols>
  <sheetData>
    <row r="1" ht="17.25" customHeight="1">
      <c r="A1" s="35" t="s">
        <v>80</v>
      </c>
      <c r="B1" s="3"/>
      <c r="C1" s="3"/>
      <c r="D1" s="3"/>
      <c r="E1" s="3"/>
      <c r="F1" s="3"/>
      <c r="G1" s="3"/>
      <c r="H1" s="3"/>
      <c r="I1" s="3"/>
      <c r="J1" s="3"/>
      <c r="K1" s="3"/>
      <c r="L1" s="3"/>
    </row>
    <row r="2" ht="17.25" customHeight="1">
      <c r="A2" s="86" t="s">
        <v>82</v>
      </c>
      <c r="B2" s="3"/>
      <c r="C2" s="3"/>
      <c r="D2" s="3"/>
      <c r="E2" s="3"/>
      <c r="F2" s="3"/>
      <c r="G2" s="3"/>
      <c r="H2" s="3"/>
      <c r="I2" s="3"/>
      <c r="J2" s="3"/>
      <c r="K2" s="3"/>
      <c r="L2" s="3"/>
    </row>
    <row r="3" ht="17.25" customHeight="1">
      <c r="A3" s="3"/>
      <c r="B3" s="3"/>
      <c r="C3" s="3"/>
      <c r="D3" s="3"/>
      <c r="E3" s="3"/>
      <c r="F3" s="3"/>
      <c r="G3" s="3"/>
      <c r="H3" s="3"/>
      <c r="I3" s="3"/>
      <c r="J3" s="3"/>
      <c r="K3" s="3"/>
      <c r="L3" s="3"/>
    </row>
    <row r="4" ht="17.25" customHeight="1">
      <c r="A4" s="36" t="s">
        <v>8</v>
      </c>
      <c r="B4" s="36" t="s">
        <v>77</v>
      </c>
      <c r="C4" s="36" t="s">
        <v>50</v>
      </c>
      <c r="D4" s="36" t="s">
        <v>78</v>
      </c>
      <c r="E4" s="36" t="s">
        <v>79</v>
      </c>
      <c r="F4" s="36" t="s">
        <v>81</v>
      </c>
      <c r="G4" s="36" t="s">
        <v>83</v>
      </c>
      <c r="H4" s="92" t="s">
        <v>86</v>
      </c>
      <c r="I4" s="92" t="s">
        <v>89</v>
      </c>
      <c r="J4" s="92" t="s">
        <v>91</v>
      </c>
      <c r="K4" s="92" t="s">
        <v>92</v>
      </c>
      <c r="L4" s="3"/>
    </row>
    <row r="5" ht="17.25" customHeight="1">
      <c r="A5" s="93" t="s">
        <v>95</v>
      </c>
      <c r="B5" s="96" t="s">
        <v>99</v>
      </c>
      <c r="C5" s="96" t="s">
        <v>118</v>
      </c>
      <c r="D5" s="96" t="s">
        <v>131</v>
      </c>
      <c r="E5" s="96" t="s">
        <v>157</v>
      </c>
      <c r="F5" s="96" t="s">
        <v>116</v>
      </c>
      <c r="G5" s="98" t="s">
        <v>159</v>
      </c>
      <c r="H5" s="101" t="s">
        <v>101</v>
      </c>
      <c r="I5" s="101" t="s">
        <v>84</v>
      </c>
      <c r="J5" s="101" t="s">
        <v>121</v>
      </c>
      <c r="K5" s="101" t="s">
        <v>107</v>
      </c>
      <c r="L5" s="3"/>
    </row>
    <row r="6" ht="17.25" customHeight="1">
      <c r="A6" s="102"/>
      <c r="B6" s="103" t="s">
        <v>128</v>
      </c>
      <c r="C6" s="103" t="s">
        <v>186</v>
      </c>
      <c r="D6" s="103" t="s">
        <v>137</v>
      </c>
      <c r="E6" s="103" t="s">
        <v>177</v>
      </c>
      <c r="F6" s="103" t="s">
        <v>145</v>
      </c>
      <c r="G6" s="104" t="s">
        <v>161</v>
      </c>
      <c r="H6" s="101" t="s">
        <v>103</v>
      </c>
      <c r="I6" s="101" t="s">
        <v>88</v>
      </c>
      <c r="J6" s="101" t="s">
        <v>142</v>
      </c>
      <c r="K6" s="101" t="s">
        <v>126</v>
      </c>
      <c r="L6" s="3"/>
    </row>
    <row r="7" ht="17.25" customHeight="1">
      <c r="A7" s="102"/>
      <c r="B7" s="52"/>
      <c r="C7" s="103" t="s">
        <v>188</v>
      </c>
      <c r="D7" s="103" t="s">
        <v>154</v>
      </c>
      <c r="E7" s="105"/>
      <c r="F7" s="103" t="s">
        <v>148</v>
      </c>
      <c r="G7" s="104" t="s">
        <v>181</v>
      </c>
      <c r="H7" s="101" t="s">
        <v>105</v>
      </c>
      <c r="I7" s="101" t="s">
        <v>57</v>
      </c>
      <c r="J7" s="101" t="s">
        <v>178</v>
      </c>
      <c r="K7" s="101" t="s">
        <v>129</v>
      </c>
      <c r="L7" s="3"/>
    </row>
    <row r="8" ht="17.25" customHeight="1">
      <c r="A8" s="102"/>
      <c r="B8" s="52"/>
      <c r="C8" s="103" t="s">
        <v>190</v>
      </c>
      <c r="D8" s="103" t="s">
        <v>163</v>
      </c>
      <c r="E8" s="105"/>
      <c r="F8" s="52"/>
      <c r="G8" s="104" t="s">
        <v>183</v>
      </c>
      <c r="H8" s="101" t="s">
        <v>110</v>
      </c>
      <c r="I8" s="101" t="s">
        <v>93</v>
      </c>
      <c r="J8" s="101" t="s">
        <v>180</v>
      </c>
      <c r="K8" s="106"/>
      <c r="L8" s="3"/>
    </row>
    <row r="9" ht="17.25" customHeight="1">
      <c r="A9" s="102"/>
      <c r="B9" s="52"/>
      <c r="C9" s="103" t="s">
        <v>170</v>
      </c>
      <c r="D9" s="103" t="s">
        <v>134</v>
      </c>
      <c r="E9" s="105"/>
      <c r="F9" s="52"/>
      <c r="G9" s="107"/>
      <c r="H9" s="101" t="s">
        <v>113</v>
      </c>
      <c r="I9" s="101" t="s">
        <v>97</v>
      </c>
      <c r="J9" s="106"/>
      <c r="K9" s="106"/>
      <c r="L9" s="3"/>
    </row>
    <row r="10" ht="17.25" customHeight="1">
      <c r="A10" s="102"/>
      <c r="B10" s="52"/>
      <c r="C10" s="52"/>
      <c r="D10" s="103" t="s">
        <v>139</v>
      </c>
      <c r="E10" s="52"/>
      <c r="F10" s="52"/>
      <c r="G10" s="107"/>
      <c r="H10" s="101" t="s">
        <v>150</v>
      </c>
      <c r="I10" s="101" t="s">
        <v>100</v>
      </c>
      <c r="J10" s="106"/>
      <c r="K10" s="106"/>
      <c r="L10" s="3"/>
    </row>
    <row r="11" ht="17.25" customHeight="1">
      <c r="A11" s="102"/>
      <c r="B11" s="52"/>
      <c r="C11" s="52"/>
      <c r="D11" s="103" t="s">
        <v>166</v>
      </c>
      <c r="E11" s="52"/>
      <c r="F11" s="52"/>
      <c r="G11" s="107"/>
      <c r="H11" s="101" t="s">
        <v>152</v>
      </c>
      <c r="I11" s="101" t="s">
        <v>124</v>
      </c>
      <c r="J11" s="106"/>
      <c r="K11" s="106"/>
      <c r="L11" s="3"/>
    </row>
    <row r="12" ht="17.25" customHeight="1">
      <c r="A12" s="102"/>
      <c r="B12" s="52"/>
      <c r="C12" s="52"/>
      <c r="D12" s="103" t="s">
        <v>168</v>
      </c>
      <c r="E12" s="52"/>
      <c r="F12" s="52"/>
      <c r="G12" s="107"/>
      <c r="H12" s="101" t="s">
        <v>156</v>
      </c>
      <c r="I12" s="106"/>
      <c r="J12" s="106"/>
      <c r="K12" s="106"/>
      <c r="L12" s="3"/>
    </row>
    <row r="13" ht="17.25" customHeight="1">
      <c r="A13" s="102"/>
      <c r="B13" s="52"/>
      <c r="C13" s="52"/>
      <c r="D13" s="103" t="s">
        <v>173</v>
      </c>
      <c r="E13" s="52"/>
      <c r="F13" s="52"/>
      <c r="G13" s="107"/>
      <c r="H13" s="101" t="s">
        <v>193</v>
      </c>
      <c r="I13" s="106"/>
      <c r="J13" s="106"/>
      <c r="K13" s="106"/>
      <c r="L13" s="3"/>
    </row>
    <row r="14" ht="17.25" customHeight="1">
      <c r="A14" s="102"/>
      <c r="B14" s="52"/>
      <c r="C14" s="52"/>
      <c r="D14" s="52"/>
      <c r="E14" s="52"/>
      <c r="F14" s="52"/>
      <c r="G14" s="107"/>
      <c r="H14" s="101" t="s">
        <v>196</v>
      </c>
      <c r="I14" s="106"/>
      <c r="J14" s="106"/>
      <c r="K14" s="106"/>
      <c r="L14" s="3"/>
    </row>
    <row r="15" ht="17.25" customHeight="1">
      <c r="A15" s="102"/>
      <c r="B15" s="52"/>
      <c r="C15" s="52"/>
      <c r="D15" s="52"/>
      <c r="E15" s="52"/>
      <c r="F15" s="52"/>
      <c r="G15" s="107"/>
      <c r="H15" s="101" t="s">
        <v>198</v>
      </c>
      <c r="I15" s="106"/>
      <c r="J15" s="106"/>
      <c r="K15" s="106"/>
      <c r="L15" s="3"/>
    </row>
    <row r="16" ht="17.25" customHeight="1">
      <c r="A16" s="108"/>
      <c r="B16" s="52"/>
      <c r="C16" s="52"/>
      <c r="D16" s="52"/>
      <c r="E16" s="52"/>
      <c r="F16" s="52"/>
      <c r="G16" s="107"/>
      <c r="H16" s="106"/>
      <c r="I16" s="106"/>
      <c r="J16" s="106"/>
      <c r="K16" s="106"/>
      <c r="L16" s="3"/>
    </row>
    <row r="17" ht="38.25" customHeight="1">
      <c r="A17" s="109"/>
      <c r="B17" s="109"/>
      <c r="C17" s="109"/>
      <c r="D17" s="109"/>
      <c r="E17" s="109"/>
      <c r="F17" s="110"/>
      <c r="G17" s="3"/>
      <c r="H17" s="3"/>
      <c r="I17" s="3"/>
      <c r="J17" s="3"/>
      <c r="K17" s="3"/>
      <c r="L17" s="3"/>
    </row>
    <row r="18" ht="18.0" customHeight="1">
      <c r="A18" s="111" t="s">
        <v>13</v>
      </c>
      <c r="B18" s="112" t="s">
        <v>201</v>
      </c>
      <c r="C18" s="62"/>
      <c r="D18" s="62"/>
      <c r="E18" s="63"/>
      <c r="F18" s="113"/>
      <c r="G18" s="3"/>
      <c r="H18" s="3"/>
      <c r="I18" s="3"/>
      <c r="J18" s="3"/>
      <c r="K18" s="3"/>
      <c r="L18" s="3"/>
    </row>
    <row r="19" ht="18.0" customHeight="1">
      <c r="A19" s="114" t="s">
        <v>68</v>
      </c>
      <c r="B19" s="115" t="s">
        <v>202</v>
      </c>
      <c r="C19" s="116"/>
      <c r="D19" s="116"/>
      <c r="E19" s="117"/>
      <c r="F19" s="113"/>
      <c r="G19" s="3"/>
      <c r="H19" s="3"/>
      <c r="I19" s="3"/>
      <c r="J19" s="3"/>
      <c r="K19" s="86" t="s">
        <v>36</v>
      </c>
      <c r="L19" s="3"/>
    </row>
    <row r="20" ht="18.0" customHeight="1">
      <c r="A20" s="114" t="s">
        <v>203</v>
      </c>
      <c r="B20" s="115" t="s">
        <v>204</v>
      </c>
      <c r="C20" s="116"/>
      <c r="D20" s="116"/>
      <c r="E20" s="117"/>
      <c r="F20" s="113"/>
      <c r="G20" s="3"/>
      <c r="H20" s="3"/>
      <c r="I20" s="3"/>
      <c r="J20" s="3"/>
      <c r="K20" s="3"/>
      <c r="L20" s="3"/>
    </row>
    <row r="21" ht="18.0" customHeight="1">
      <c r="A21" s="114" t="s">
        <v>205</v>
      </c>
      <c r="B21" s="115" t="s">
        <v>206</v>
      </c>
      <c r="C21" s="116"/>
      <c r="D21" s="116"/>
      <c r="E21" s="117"/>
      <c r="F21" s="113"/>
      <c r="G21" s="3"/>
      <c r="H21" s="3"/>
      <c r="I21" s="3"/>
      <c r="J21" s="3"/>
      <c r="K21" s="3"/>
      <c r="L21" s="3"/>
    </row>
    <row r="22" ht="18.0" customHeight="1">
      <c r="A22" s="114" t="s">
        <v>207</v>
      </c>
      <c r="B22" s="115" t="s">
        <v>208</v>
      </c>
      <c r="C22" s="116"/>
      <c r="D22" s="116"/>
      <c r="E22" s="117"/>
      <c r="F22" s="113"/>
      <c r="H22" s="3"/>
      <c r="I22" s="3"/>
      <c r="J22" s="3"/>
      <c r="K22" s="3"/>
      <c r="L22" s="3"/>
    </row>
    <row r="23" ht="25.5" customHeight="1">
      <c r="A23" s="118" t="s">
        <v>209</v>
      </c>
      <c r="B23" s="115" t="s">
        <v>210</v>
      </c>
      <c r="C23" s="116"/>
      <c r="D23" s="116"/>
      <c r="E23" s="117"/>
      <c r="F23" s="113"/>
      <c r="G23" s="3"/>
      <c r="H23" s="3"/>
      <c r="I23" s="3"/>
      <c r="J23" s="3"/>
      <c r="K23" s="3"/>
      <c r="L23" s="3"/>
    </row>
  </sheetData>
  <mergeCells count="7">
    <mergeCell ref="A5:A16"/>
    <mergeCell ref="B18:E18"/>
    <mergeCell ref="B19:E19"/>
    <mergeCell ref="B20:E20"/>
    <mergeCell ref="B21:E21"/>
    <mergeCell ref="B22:E22"/>
    <mergeCell ref="B23:E23"/>
  </mergeCells>
  <hyperlinks>
    <hyperlink r:id="rId1" location="contrast-minimum" ref="B5"/>
    <hyperlink r:id="rId2" location="error-identification" ref="C5"/>
    <hyperlink r:id="rId3" location="content-on-hover-or-focus" ref="D5"/>
    <hyperlink r:id="rId4" location="language-of-page" ref="E5"/>
    <hyperlink r:id="rId5" location="audio-control" ref="F5"/>
    <hyperlink r:id="rId6" location="multiple-ways" ref="G5"/>
    <hyperlink r:id="rId7" location="info-and-relationships" ref="H5"/>
    <hyperlink r:id="rId8" location="non-text-content" ref="I5"/>
    <hyperlink r:id="rId9" location="resize-text" ref="J5"/>
    <hyperlink r:id="rId10" location="orientation" ref="K5"/>
    <hyperlink r:id="rId11" location="non-text-contrast" ref="B6"/>
    <hyperlink r:id="rId12" location="labels-or-instructions" ref="C6"/>
    <hyperlink r:id="rId13" location="no-keyboard-trap" ref="D6"/>
    <hyperlink r:id="rId14" location="language-of-parts" ref="E6"/>
    <hyperlink r:id="rId15" location="pause-stop-hide" ref="F6"/>
    <hyperlink r:id="rId16" location="headings-and-labels" ref="G6"/>
    <hyperlink r:id="rId17" location="meaningful-sequence" ref="H6"/>
    <hyperlink r:id="rId18" location="audio-only-and-video-only-prerecorded" ref="I6"/>
    <hyperlink r:id="rId19" location="timing-adjustable" ref="J6"/>
    <hyperlink r:id="rId20" location="reflow" ref="K6"/>
    <hyperlink r:id="rId21" location="error-suggestion" ref="C7"/>
    <hyperlink r:id="rId22" location="focus-order" ref="D7"/>
    <hyperlink r:id="rId23" location="three-flashes-or-below-threshold" ref="F7"/>
    <hyperlink r:id="rId24" location="consistent-navigation" ref="G7"/>
    <hyperlink r:id="rId25" location="sensory-characteristics" ref="H7"/>
    <hyperlink r:id="rId26" location="captions-prerecorded" ref="I7"/>
    <hyperlink r:id="rId27" location="on-focus" ref="J7"/>
    <hyperlink r:id="rId28" location="text-spacing" ref="K7"/>
    <hyperlink r:id="rId29" location="error-prevention-legal-financial-data" ref="C8"/>
    <hyperlink r:id="rId30" location="focus-visible" ref="D8"/>
    <hyperlink r:id="rId31" location="consistent-identification" ref="G8"/>
    <hyperlink r:id="rId32" location="identify-input-purpose" ref="H8"/>
    <hyperlink r:id="rId33" location="audio-description-or-media-alternative-prerecorded" ref="I8"/>
    <hyperlink r:id="rId34" location="on-input" ref="J8"/>
    <hyperlink r:id="rId35" location="label-in-name" ref="C9"/>
    <hyperlink r:id="rId36" location="keyboard" ref="D9"/>
    <hyperlink r:id="rId37" location="use-of-color" ref="H9"/>
    <hyperlink r:id="rId38" location="captions-live" ref="I9"/>
    <hyperlink r:id="rId39" location="character-key-shortcuts" ref="D10"/>
    <hyperlink r:id="rId40" location="bypass-blocks" ref="H10"/>
    <hyperlink r:id="rId41" location="audio-description-prerecorded" ref="I10"/>
    <hyperlink r:id="rId42" location="pointer-gestures" ref="D11"/>
    <hyperlink r:id="rId43" location="page-titled" ref="H11"/>
    <hyperlink r:id="rId44" location="images-of-text-no-exception" ref="I11"/>
    <hyperlink r:id="rId45" location="pointer-cancellation" ref="D12"/>
    <hyperlink r:id="rId46" location="link-purpose-in-context" ref="H12"/>
    <hyperlink r:id="rId47" location="motion-actuation" ref="D13"/>
    <hyperlink r:id="rId48" location="parsing" ref="H13"/>
    <hyperlink r:id="rId49" location="name-role-value" ref="H14"/>
    <hyperlink r:id="rId50" location="status-messages" ref="H15"/>
  </hyperlinks>
  <drawing r:id="rId5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38"/>
    <col customWidth="1" min="2" max="2" width="57.13"/>
    <col customWidth="1" min="3" max="3" width="73.5"/>
  </cols>
  <sheetData>
    <row r="1">
      <c r="A1" s="87" t="s">
        <v>84</v>
      </c>
      <c r="B1" s="88" t="s">
        <v>85</v>
      </c>
      <c r="C1" s="89" t="s">
        <v>87</v>
      </c>
      <c r="D1" s="90"/>
    </row>
    <row r="2">
      <c r="A2" s="91" t="s">
        <v>88</v>
      </c>
      <c r="B2" s="91" t="s">
        <v>85</v>
      </c>
      <c r="C2" s="89" t="s">
        <v>90</v>
      </c>
      <c r="D2" s="90"/>
    </row>
    <row r="3">
      <c r="A3" s="91" t="s">
        <v>57</v>
      </c>
      <c r="B3" s="91" t="s">
        <v>72</v>
      </c>
      <c r="C3" s="89" t="s">
        <v>70</v>
      </c>
      <c r="D3" s="90"/>
    </row>
    <row r="4">
      <c r="A4" s="91" t="s">
        <v>93</v>
      </c>
      <c r="B4" s="91" t="s">
        <v>94</v>
      </c>
      <c r="C4" s="89" t="s">
        <v>96</v>
      </c>
      <c r="D4" s="90"/>
    </row>
    <row r="5">
      <c r="A5" s="91" t="s">
        <v>97</v>
      </c>
      <c r="B5" s="91" t="s">
        <v>72</v>
      </c>
      <c r="C5" s="89" t="s">
        <v>98</v>
      </c>
      <c r="D5" s="90"/>
    </row>
    <row r="6">
      <c r="A6" s="91" t="s">
        <v>100</v>
      </c>
      <c r="B6" s="91" t="s">
        <v>94</v>
      </c>
      <c r="C6" s="89" t="s">
        <v>96</v>
      </c>
      <c r="D6" s="90"/>
    </row>
    <row r="7">
      <c r="A7" s="91" t="s">
        <v>101</v>
      </c>
      <c r="B7" s="91" t="s">
        <v>94</v>
      </c>
      <c r="C7" s="89" t="s">
        <v>102</v>
      </c>
      <c r="D7" s="90"/>
    </row>
    <row r="8">
      <c r="A8" s="91" t="s">
        <v>103</v>
      </c>
      <c r="B8" s="91" t="s">
        <v>94</v>
      </c>
      <c r="C8" s="89" t="s">
        <v>104</v>
      </c>
      <c r="D8" s="90"/>
    </row>
    <row r="9">
      <c r="A9" s="91" t="s">
        <v>105</v>
      </c>
      <c r="B9" s="91" t="s">
        <v>85</v>
      </c>
      <c r="C9" s="89" t="s">
        <v>106</v>
      </c>
      <c r="D9" s="90"/>
    </row>
    <row r="10">
      <c r="A10" s="91" t="s">
        <v>107</v>
      </c>
      <c r="B10" s="91" t="s">
        <v>108</v>
      </c>
      <c r="C10" s="89" t="s">
        <v>109</v>
      </c>
      <c r="D10" s="90"/>
    </row>
    <row r="11">
      <c r="A11" s="91" t="s">
        <v>110</v>
      </c>
      <c r="B11" s="91" t="s">
        <v>111</v>
      </c>
      <c r="C11" s="89" t="s">
        <v>112</v>
      </c>
      <c r="D11" s="90"/>
    </row>
    <row r="12">
      <c r="A12" s="91" t="s">
        <v>113</v>
      </c>
      <c r="B12" s="91" t="s">
        <v>114</v>
      </c>
      <c r="C12" s="89" t="s">
        <v>115</v>
      </c>
      <c r="D12" s="90"/>
    </row>
    <row r="13">
      <c r="A13" s="91" t="s">
        <v>116</v>
      </c>
      <c r="B13" s="91" t="s">
        <v>94</v>
      </c>
      <c r="C13" s="95" t="s">
        <v>117</v>
      </c>
      <c r="D13" s="90"/>
    </row>
    <row r="14">
      <c r="A14" s="91" t="s">
        <v>99</v>
      </c>
      <c r="B14" s="91" t="s">
        <v>119</v>
      </c>
      <c r="C14" s="95" t="s">
        <v>120</v>
      </c>
      <c r="D14" s="90"/>
    </row>
    <row r="15">
      <c r="A15" s="91" t="s">
        <v>121</v>
      </c>
      <c r="B15" s="91" t="s">
        <v>122</v>
      </c>
      <c r="C15" s="89" t="s">
        <v>123</v>
      </c>
      <c r="D15" s="90"/>
    </row>
    <row r="16">
      <c r="A16" s="91" t="s">
        <v>124</v>
      </c>
      <c r="B16" s="91" t="s">
        <v>94</v>
      </c>
      <c r="C16" s="95" t="s">
        <v>125</v>
      </c>
      <c r="D16" s="90"/>
    </row>
    <row r="17">
      <c r="A17" s="91" t="s">
        <v>126</v>
      </c>
      <c r="B17" s="91" t="s">
        <v>122</v>
      </c>
      <c r="C17" s="89" t="s">
        <v>127</v>
      </c>
      <c r="D17" s="90"/>
    </row>
    <row r="18">
      <c r="A18" s="91" t="s">
        <v>128</v>
      </c>
      <c r="B18" s="91" t="s">
        <v>119</v>
      </c>
      <c r="C18" s="95" t="s">
        <v>120</v>
      </c>
      <c r="D18" s="90"/>
    </row>
    <row r="19">
      <c r="A19" s="91" t="s">
        <v>129</v>
      </c>
      <c r="B19" s="91" t="s">
        <v>122</v>
      </c>
      <c r="C19" s="89" t="s">
        <v>130</v>
      </c>
      <c r="D19" s="90"/>
    </row>
    <row r="20">
      <c r="A20" s="91" t="s">
        <v>131</v>
      </c>
      <c r="B20" s="91" t="s">
        <v>132</v>
      </c>
      <c r="C20" s="95" t="s">
        <v>133</v>
      </c>
      <c r="D20" s="90"/>
    </row>
    <row r="21">
      <c r="A21" s="91" t="s">
        <v>134</v>
      </c>
      <c r="B21" s="91" t="s">
        <v>135</v>
      </c>
      <c r="C21" s="89" t="s">
        <v>136</v>
      </c>
      <c r="D21" s="90"/>
    </row>
    <row r="22">
      <c r="A22" s="91" t="s">
        <v>137</v>
      </c>
      <c r="B22" s="91" t="s">
        <v>135</v>
      </c>
      <c r="C22" s="95" t="s">
        <v>138</v>
      </c>
      <c r="D22" s="90"/>
    </row>
    <row r="23">
      <c r="A23" s="91" t="s">
        <v>139</v>
      </c>
      <c r="B23" s="91" t="s">
        <v>140</v>
      </c>
      <c r="C23" s="97" t="s">
        <v>141</v>
      </c>
      <c r="D23" s="90"/>
    </row>
    <row r="24">
      <c r="A24" s="91" t="s">
        <v>142</v>
      </c>
      <c r="B24" s="91" t="s">
        <v>143</v>
      </c>
      <c r="C24" s="89" t="s">
        <v>144</v>
      </c>
      <c r="D24" s="90"/>
    </row>
    <row r="25">
      <c r="A25" s="91" t="s">
        <v>145</v>
      </c>
      <c r="B25" s="91" t="s">
        <v>146</v>
      </c>
      <c r="C25" s="89" t="s">
        <v>147</v>
      </c>
      <c r="D25" s="90"/>
    </row>
    <row r="26">
      <c r="A26" s="91" t="s">
        <v>148</v>
      </c>
      <c r="B26" s="91" t="s">
        <v>146</v>
      </c>
      <c r="C26" s="89" t="s">
        <v>149</v>
      </c>
      <c r="D26" s="90"/>
    </row>
    <row r="27">
      <c r="A27" s="91" t="s">
        <v>150</v>
      </c>
      <c r="B27" s="91" t="s">
        <v>135</v>
      </c>
      <c r="C27" s="89" t="s">
        <v>151</v>
      </c>
      <c r="D27" s="90"/>
    </row>
    <row r="28">
      <c r="A28" s="91" t="s">
        <v>152</v>
      </c>
      <c r="B28" s="91" t="s">
        <v>135</v>
      </c>
      <c r="C28" s="89" t="s">
        <v>153</v>
      </c>
      <c r="D28" s="90"/>
    </row>
    <row r="29">
      <c r="A29" s="91" t="s">
        <v>154</v>
      </c>
      <c r="B29" s="91" t="s">
        <v>135</v>
      </c>
      <c r="C29" s="89" t="s">
        <v>155</v>
      </c>
      <c r="D29" s="90"/>
    </row>
    <row r="30">
      <c r="A30" s="91" t="s">
        <v>156</v>
      </c>
      <c r="B30" s="91" t="s">
        <v>135</v>
      </c>
      <c r="C30" s="89" t="s">
        <v>158</v>
      </c>
      <c r="D30" s="90"/>
    </row>
    <row r="31">
      <c r="A31" s="91" t="s">
        <v>159</v>
      </c>
      <c r="B31" s="91" t="s">
        <v>135</v>
      </c>
      <c r="C31" s="89" t="s">
        <v>160</v>
      </c>
      <c r="D31" s="90"/>
    </row>
    <row r="32">
      <c r="A32" s="91" t="s">
        <v>161</v>
      </c>
      <c r="B32" s="91" t="s">
        <v>135</v>
      </c>
      <c r="C32" s="89" t="s">
        <v>162</v>
      </c>
      <c r="D32" s="90"/>
    </row>
    <row r="33">
      <c r="A33" s="91" t="s">
        <v>163</v>
      </c>
      <c r="B33" s="91" t="s">
        <v>164</v>
      </c>
      <c r="C33" s="89" t="s">
        <v>165</v>
      </c>
      <c r="D33" s="90"/>
    </row>
    <row r="34">
      <c r="A34" s="91" t="s">
        <v>166</v>
      </c>
      <c r="B34" s="91" t="s">
        <v>140</v>
      </c>
      <c r="C34" s="89" t="s">
        <v>167</v>
      </c>
      <c r="D34" s="90"/>
    </row>
    <row r="35">
      <c r="A35" s="91" t="s">
        <v>168</v>
      </c>
      <c r="B35" s="91" t="s">
        <v>111</v>
      </c>
      <c r="C35" s="95" t="s">
        <v>169</v>
      </c>
      <c r="D35" s="90"/>
    </row>
    <row r="36">
      <c r="A36" s="91" t="s">
        <v>170</v>
      </c>
      <c r="B36" s="91" t="s">
        <v>171</v>
      </c>
      <c r="C36" s="89" t="s">
        <v>172</v>
      </c>
      <c r="D36" s="90"/>
    </row>
    <row r="37">
      <c r="A37" s="91" t="s">
        <v>173</v>
      </c>
      <c r="B37" s="91" t="s">
        <v>174</v>
      </c>
      <c r="C37" s="89" t="s">
        <v>175</v>
      </c>
      <c r="D37" s="90"/>
    </row>
    <row r="38">
      <c r="A38" s="91" t="s">
        <v>157</v>
      </c>
      <c r="B38" s="91" t="s">
        <v>85</v>
      </c>
      <c r="C38" s="95" t="s">
        <v>176</v>
      </c>
      <c r="D38" s="90"/>
    </row>
    <row r="39">
      <c r="A39" s="91" t="s">
        <v>177</v>
      </c>
      <c r="B39" s="91" t="s">
        <v>85</v>
      </c>
      <c r="C39" s="95" t="s">
        <v>176</v>
      </c>
      <c r="D39" s="90"/>
    </row>
    <row r="40">
      <c r="A40" s="91" t="s">
        <v>178</v>
      </c>
      <c r="B40" s="91" t="s">
        <v>135</v>
      </c>
      <c r="C40" s="95" t="s">
        <v>179</v>
      </c>
      <c r="D40" s="90"/>
    </row>
    <row r="41">
      <c r="A41" s="91" t="s">
        <v>180</v>
      </c>
      <c r="B41" s="91" t="s">
        <v>94</v>
      </c>
      <c r="C41" s="95" t="s">
        <v>179</v>
      </c>
      <c r="D41" s="90"/>
    </row>
    <row r="42">
      <c r="A42" s="91" t="s">
        <v>181</v>
      </c>
      <c r="B42" s="91" t="s">
        <v>94</v>
      </c>
      <c r="C42" s="95" t="s">
        <v>182</v>
      </c>
      <c r="D42" s="90"/>
    </row>
    <row r="43">
      <c r="A43" s="91" t="s">
        <v>183</v>
      </c>
      <c r="B43" s="91" t="s">
        <v>135</v>
      </c>
      <c r="C43" s="89" t="s">
        <v>184</v>
      </c>
      <c r="D43" s="90"/>
    </row>
    <row r="44">
      <c r="A44" s="91" t="s">
        <v>118</v>
      </c>
      <c r="B44" s="91" t="s">
        <v>114</v>
      </c>
      <c r="C44" s="95" t="s">
        <v>185</v>
      </c>
      <c r="D44" s="90"/>
    </row>
    <row r="45">
      <c r="A45" s="91" t="s">
        <v>186</v>
      </c>
      <c r="B45" s="91" t="s">
        <v>94</v>
      </c>
      <c r="C45" s="95" t="s">
        <v>187</v>
      </c>
      <c r="D45" s="90"/>
    </row>
    <row r="46">
      <c r="A46" s="91" t="s">
        <v>188</v>
      </c>
      <c r="B46" s="91" t="s">
        <v>135</v>
      </c>
      <c r="C46" s="95" t="s">
        <v>189</v>
      </c>
      <c r="D46" s="90"/>
    </row>
    <row r="47">
      <c r="A47" s="91" t="s">
        <v>190</v>
      </c>
      <c r="B47" s="91" t="s">
        <v>191</v>
      </c>
      <c r="C47" s="95" t="s">
        <v>192</v>
      </c>
      <c r="D47" s="90"/>
    </row>
    <row r="48">
      <c r="A48" s="91" t="s">
        <v>193</v>
      </c>
      <c r="B48" s="91" t="s">
        <v>194</v>
      </c>
      <c r="C48" s="95" t="s">
        <v>195</v>
      </c>
      <c r="D48" s="90"/>
    </row>
    <row r="49">
      <c r="A49" s="99" t="s">
        <v>196</v>
      </c>
      <c r="B49" s="91" t="s">
        <v>135</v>
      </c>
      <c r="C49" s="95" t="s">
        <v>197</v>
      </c>
      <c r="D49" s="90"/>
    </row>
    <row r="50">
      <c r="A50" s="89" t="s">
        <v>198</v>
      </c>
      <c r="B50" s="99" t="s">
        <v>199</v>
      </c>
      <c r="C50" s="100" t="s">
        <v>200</v>
      </c>
      <c r="D50" s="90"/>
    </row>
    <row r="51">
      <c r="A51" s="90"/>
      <c r="B51" s="90"/>
      <c r="C51" s="90"/>
      <c r="D51" s="90"/>
    </row>
  </sheetData>
  <drawing r:id="rId1"/>
</worksheet>
</file>